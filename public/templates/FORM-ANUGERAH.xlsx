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020" firstSheet="9" activeTab="13"/>
  </bookViews>
  <sheets>
    <sheet name="FRONT PG" sheetId="1" r:id="rId1"/>
    <sheet name="SELEMPANG" sheetId="2" r:id="rId2"/>
    <sheet name="PPKI,PRA" sheetId="3" r:id="rId3"/>
    <sheet name="MP THP 1" sheetId="4" r:id="rId4"/>
    <sheet name="MP THP 1 (Kalau ada kelas)" sheetId="5" r:id="rId5"/>
    <sheet name="MP THP 2" sheetId="6" r:id="rId6"/>
    <sheet name="MP THP 2 (Kalau ada kelas)" sheetId="7" r:id="rId7"/>
    <sheet name="PBD" sheetId="8" r:id="rId8"/>
    <sheet name="ALIRAN TERBAIK" sheetId="9" r:id="rId9"/>
    <sheet name="ALIRAN TERBAIK Kalau ada kelas" sheetId="10" r:id="rId10"/>
    <sheet name="LONJAKAN SAUJANA" sheetId="11" r:id="rId11"/>
    <sheet name="TOKOH" sheetId="12" r:id="rId12"/>
    <sheet name="KEHADIRAN PENUH" sheetId="13" r:id="rId13"/>
    <sheet name="ORDER LAIN-LAIN" sheetId="14" r:id="rId14"/>
    <sheet name="SENARAI PLAK" sheetId="15" state="hidden" r:id="rId15"/>
  </sheets>
  <definedNames>
    <definedName name="_xlnm.Print_Titles" localSheetId="13">'ORDER LAIN-LAIN'!$11:$11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<sst xmlns="http://schemas.openxmlformats.org/spreadsheetml/2006/main" count="552" uniqueCount="277">
  <si>
    <t>SALES  :</t>
  </si>
  <si>
    <t>TARIKH ORDER :</t>
  </si>
  <si>
    <t>SEKOLAH  :</t>
  </si>
  <si>
    <t>TARIKH FUNCTION  :</t>
  </si>
  <si>
    <t>LOGO :</t>
  </si>
  <si>
    <t>CIKGU / NO TEL :</t>
  </si>
  <si>
    <t>JENIS PLAK</t>
  </si>
  <si>
    <t>QTY</t>
  </si>
  <si>
    <t>HARGA</t>
  </si>
  <si>
    <t>TAMBAHAN :</t>
  </si>
  <si>
    <t>TARIKH :</t>
  </si>
  <si>
    <t>REMARK :</t>
  </si>
  <si>
    <t>TOLONG ISI DI SINI</t>
  </si>
  <si>
    <t>ACARA</t>
  </si>
  <si>
    <t>WARNA</t>
  </si>
  <si>
    <t>KUANTITI</t>
  </si>
  <si>
    <t>CONTOH WARNA</t>
  </si>
  <si>
    <t>BIRU</t>
  </si>
  <si>
    <t>0053</t>
  </si>
  <si>
    <t>HIJAU</t>
  </si>
  <si>
    <t>0052</t>
  </si>
  <si>
    <t>KUNING</t>
  </si>
  <si>
    <t>0051</t>
  </si>
  <si>
    <t>MERAH</t>
  </si>
  <si>
    <t>0050</t>
  </si>
  <si>
    <t>Ada Nama Kelas? Isi kanan sahaja (auto kira). Tiada? Padam 0, taip sendiri.</t>
  </si>
  <si>
    <t>SUBJEK</t>
  </si>
  <si>
    <t>PRA PPKI</t>
  </si>
  <si>
    <t>PPKI</t>
  </si>
  <si>
    <t>PRASEKOLAH</t>
  </si>
  <si>
    <t>Nama Kelas</t>
  </si>
  <si>
    <t>Moral Kelas</t>
  </si>
  <si>
    <t>BAHASA MELAYU</t>
  </si>
  <si>
    <t>BAHASA INGGERIS</t>
  </si>
  <si>
    <t>MATEMATIK</t>
  </si>
  <si>
    <t>SAINS</t>
  </si>
  <si>
    <t>PENDIDIKAN ISLAM</t>
  </si>
  <si>
    <t>BAHASA ARAB</t>
  </si>
  <si>
    <t>PENDIDIKAN SENI VISUAL</t>
  </si>
  <si>
    <t>PENDIDIKAN JASMANI</t>
  </si>
  <si>
    <t>PENDIDIKAN KESIHATAN</t>
  </si>
  <si>
    <t>PENDIDIKAN MUZIK</t>
  </si>
  <si>
    <t>PENDIDIKAN MORAL</t>
  </si>
  <si>
    <t>BAHASA CINA</t>
  </si>
  <si>
    <t>BAHASA TAMIL</t>
  </si>
  <si>
    <t>TOTAL</t>
  </si>
  <si>
    <t>TAHUN 1</t>
  </si>
  <si>
    <t>TAHUN 2</t>
  </si>
  <si>
    <t>TAHUN 3</t>
  </si>
  <si>
    <t>PENDIDIKAN JASMANI &amp; PENDIDIKAN KESIHATAN</t>
  </si>
  <si>
    <t>Tahun 1</t>
  </si>
  <si>
    <t>Tahun 2</t>
  </si>
  <si>
    <t>Tahun 3</t>
  </si>
  <si>
    <t>TAHUN 4</t>
  </si>
  <si>
    <t>TAHUN 5</t>
  </si>
  <si>
    <t>TAHUN 6</t>
  </si>
  <si>
    <t>SEJARAH</t>
  </si>
  <si>
    <t>REKA BENTUK &amp; TEKNOLOGI</t>
  </si>
  <si>
    <t>TOTAL:</t>
  </si>
  <si>
    <t>Tahun 4</t>
  </si>
  <si>
    <t>Tahun 5</t>
  </si>
  <si>
    <t>Tahun 6</t>
  </si>
  <si>
    <t>TAHUN</t>
  </si>
  <si>
    <t>NAMA KELAS</t>
  </si>
  <si>
    <t>PERTAMA</t>
  </si>
  <si>
    <t>KEDUA</t>
  </si>
  <si>
    <t>KETIGA</t>
  </si>
  <si>
    <t>KEEMPAT</t>
  </si>
  <si>
    <t>KELIMA</t>
  </si>
  <si>
    <t>KEENAM</t>
  </si>
  <si>
    <t>KEDUDUKAN</t>
  </si>
  <si>
    <t>KETUJUH</t>
  </si>
  <si>
    <t>DARI</t>
  </si>
  <si>
    <t>HINGGA KE</t>
  </si>
  <si>
    <t>KELAPAN</t>
  </si>
  <si>
    <t>KESEMBILAN</t>
  </si>
  <si>
    <t>KESEPULUH</t>
  </si>
  <si>
    <t>KE-11</t>
  </si>
  <si>
    <t>KE-12</t>
  </si>
  <si>
    <t>KE-13</t>
  </si>
  <si>
    <t>KE-14</t>
  </si>
  <si>
    <t>KE-15</t>
  </si>
  <si>
    <t>KE-16</t>
  </si>
  <si>
    <t>KE-17</t>
  </si>
  <si>
    <t>KE-18</t>
  </si>
  <si>
    <t>KE-19</t>
  </si>
  <si>
    <t>KE-20</t>
  </si>
  <si>
    <t>CATATAN</t>
  </si>
  <si>
    <t>QTY SETIAP KEDUDUKAN</t>
  </si>
  <si>
    <t>HARGA PER UNIT</t>
  </si>
  <si>
    <t>TOTAL HARGA</t>
  </si>
  <si>
    <t>TOKOH</t>
  </si>
  <si>
    <t>NAMA MURID</t>
  </si>
  <si>
    <t>GAMBAR (YES/NO)</t>
  </si>
  <si>
    <t>**DESIGN</t>
  </si>
  <si>
    <t>TOKOH MURID</t>
  </si>
  <si>
    <t>TOKOH NILAM</t>
  </si>
  <si>
    <t>TOKOH KURIKULUM</t>
  </si>
  <si>
    <t>TOKOH KOKURIKULUM</t>
  </si>
  <si>
    <t>TOKOH AKADEMIK</t>
  </si>
  <si>
    <t>TOLONG ISI DI SINI  ·  BORANG PLAK UMUM</t>
  </si>
  <si>
    <t>LANGKAH 1  Tulis CONTOH PLAK      →      LANGKAH 2  Satu baris = satu jenis plak      →      LANGKAH 3  Semak JUMLAH PLAK</t>
  </si>
  <si>
    <t>Kotak KUNING = anda isi.   Kotak KELABU = automatik (tidak perlu isi).</t>
  </si>
  <si>
    <t>LANGKAH 1 · CONTOH PLAK  (tulis setiap baris seperti pada plak)</t>
  </si>
  <si>
    <t>WARNA MERAH?</t>
  </si>
  <si>
    <t>PANDUAN</t>
  </si>
  <si>
    <t>①</t>
  </si>
  <si>
    <t>• Baris yang tiada? Biarkan kosong.
• Tajuk 2 baris? Tekan ALT + ENTER  (Mac: Option + Return).
• Nak satu baris jadi warna merah? Pilih MERAH di sebelah.
• JENIS PLAK: pilih dari senarai. HARGA keluar sendiri — kalau tukar, kotak jadi MERAH.</t>
  </si>
  <si>
    <t>②</t>
  </si>
  <si>
    <t>③</t>
  </si>
  <si>
    <t>④</t>
  </si>
  <si>
    <t>LANGKAH 2 · SENARAI PLAK — satu baris = satu jenis plak.  Tulis baris ①–④ yang BERBEZA sahaja; KOSONG = sama macam CONTOH; tulis - kalau baris itu TIADA.</t>
  </si>
  <si>
    <t>No.</t>
  </si>
  <si>
    <t>PLAK AKAN JADI (automatik)</t>
  </si>
  <si>
    <t>CONTOH</t>
  </si>
  <si>
    <t>PKC 263</t>
  </si>
  <si>
    <t>NAIB JOHAN</t>
  </si>
  <si>
    <t>LANGKAH 3 · JUMLAH PLAK  →</t>
  </si>
  <si>
    <t>JUMLAH HARGA  →</t>
  </si>
  <si>
    <t>HARGA (RM)</t>
  </si>
  <si>
    <t>DECO LIGHT</t>
  </si>
  <si>
    <t>PKF 265</t>
  </si>
  <si>
    <t>PKF 266</t>
  </si>
  <si>
    <t>PKC 246</t>
  </si>
  <si>
    <t>PK 261 / A</t>
  </si>
  <si>
    <t>PK 261 / B</t>
  </si>
  <si>
    <t>PK 261 / C</t>
  </si>
  <si>
    <t>SHINING STICKER A</t>
  </si>
  <si>
    <t>ALUMINIUM PLATE A</t>
  </si>
  <si>
    <t>WOOD ENGRAVED A</t>
  </si>
  <si>
    <t>VB / A / RED</t>
  </si>
  <si>
    <t>VB / A / BLUE</t>
  </si>
  <si>
    <t>VB / B / BLUE</t>
  </si>
  <si>
    <t>VB / B / RED</t>
  </si>
  <si>
    <t>VB / C / RED</t>
  </si>
  <si>
    <t>VB / C / BLUE</t>
  </si>
  <si>
    <t>VB / D / BLUE</t>
  </si>
  <si>
    <t>VB / D / RED</t>
  </si>
  <si>
    <t>SONGKET / A / RED</t>
  </si>
  <si>
    <t>SONGKET / A / BLUE</t>
  </si>
  <si>
    <t>SONGKET / B / RED</t>
  </si>
  <si>
    <t>SONGKET / B / BLUE</t>
  </si>
  <si>
    <t>SONGKET / C / BLUE</t>
  </si>
  <si>
    <t>SONGKET / C / RED</t>
  </si>
  <si>
    <t>57166 A / RED</t>
  </si>
  <si>
    <t>57166 A / BLUE</t>
  </si>
  <si>
    <t>CPH / A</t>
  </si>
  <si>
    <t>CPH / B</t>
  </si>
  <si>
    <t>CPH / C</t>
  </si>
  <si>
    <t>FD 251 / GOLD</t>
  </si>
  <si>
    <t>FD 251 / SILVER</t>
  </si>
  <si>
    <t>FD 251 / BRONZE</t>
  </si>
  <si>
    <t>18059</t>
  </si>
  <si>
    <t>18093 GOLD</t>
  </si>
  <si>
    <t>AS 22C</t>
  </si>
  <si>
    <t>MP393 / GOLD / BASE WITHOUT COVER</t>
  </si>
  <si>
    <t>MP393 / GOLD / BASE WITH COVER</t>
  </si>
  <si>
    <t>MP393 / GOLD / BASE A</t>
  </si>
  <si>
    <t>MP393 / GOLD / BASE B</t>
  </si>
  <si>
    <t>MP393 / GOLD / BASE C</t>
  </si>
  <si>
    <t>MP393 / SILVER / BASE WITHOUT COVER</t>
  </si>
  <si>
    <t>MP393 / SILVER / BASE WITH COVER</t>
  </si>
  <si>
    <t>MP393 / SILVER / BASE A</t>
  </si>
  <si>
    <t>MP393 / SILVER / BASE B</t>
  </si>
  <si>
    <t>MP393 / SILVER / BASE C</t>
  </si>
  <si>
    <t>MP393 / BRONZE / BASE WITHOUT COVER</t>
  </si>
  <si>
    <t>MP393 / BRONZE / BASE WITH COVER</t>
  </si>
  <si>
    <t>MP393 / BRONZE / BASE A</t>
  </si>
  <si>
    <t>MP393 / BRONZE / BASE B</t>
  </si>
  <si>
    <t>MP393 / BRONZE / BASE C</t>
  </si>
  <si>
    <t>MP399 / GOLD / BASE WITHOUT COVER</t>
  </si>
  <si>
    <t>MP399 / GOLD / BASE WITH COVER</t>
  </si>
  <si>
    <t>MP399 / GOLD / BASE A</t>
  </si>
  <si>
    <t>MP399 / GOLD / BASE B</t>
  </si>
  <si>
    <t>MP399 / GOLD / BASE C</t>
  </si>
  <si>
    <t>MP399 / SILVER / BASE WITHOUT COVER</t>
  </si>
  <si>
    <t>MP399 / SILVER / BASE WITH COVER</t>
  </si>
  <si>
    <t>MP399 / SILVER / BASE A</t>
  </si>
  <si>
    <t>MP399 / SILVER / BASE B</t>
  </si>
  <si>
    <t>MP399 / SILVER / BASE C</t>
  </si>
  <si>
    <t>MP399 / BRONZE / BASE WITHOUT COVER</t>
  </si>
  <si>
    <t>MP399 / BRONZE / BASE WITH COVER</t>
  </si>
  <si>
    <t>MP399 / BRONZE / BASE A</t>
  </si>
  <si>
    <t>MP399 / BRONZE / BASE B</t>
  </si>
  <si>
    <t>MP399 / BRONZE / BASE C</t>
  </si>
  <si>
    <t>SM-13187 / GOLD / BASE WITHOUT COVER</t>
  </si>
  <si>
    <t>SM-13187 / GOLD / BASE WITH COVER</t>
  </si>
  <si>
    <t>SM-13187 / GOLD / BASE A</t>
  </si>
  <si>
    <t>SM-13187 / GOLD / BASE B</t>
  </si>
  <si>
    <t>SM-13187 / GOLD / BASE C</t>
  </si>
  <si>
    <t>SM-13187 / SILVER / BASE WITHOUT COVER</t>
  </si>
  <si>
    <t>SM-13187 / SILVER / BASE A</t>
  </si>
  <si>
    <t>SM-13187 / SILVER / BASE WITH COVER</t>
  </si>
  <si>
    <t>SM-13187 / SILVER / BASE B</t>
  </si>
  <si>
    <t>SM-13187 / SILVER / BASE C</t>
  </si>
  <si>
    <t>SM-13187 / BRONZE / BASE WITHOUT COVER</t>
  </si>
  <si>
    <t>SM-13187 / BRONZE / BASE WITH COVER</t>
  </si>
  <si>
    <t>SM-13187 / BRONZE / BASE A</t>
  </si>
  <si>
    <t>SM-13187 / BRONZE / BASE B</t>
  </si>
  <si>
    <t>SM-13187 / BRONZE / BASE C</t>
  </si>
  <si>
    <t>SM-13230 / GOLD / BASE WITH COVER</t>
  </si>
  <si>
    <t>SM-13230 / GOLD / BASE WITHOUT COVER</t>
  </si>
  <si>
    <t>SM-13230 / GOLD / BASE A</t>
  </si>
  <si>
    <t>SM-13230 / GOLD / BASE B</t>
  </si>
  <si>
    <t>SM-13230 / GOLD / BASE C</t>
  </si>
  <si>
    <t>SM-13230 / SILVER / BASE WITHOUT COVER</t>
  </si>
  <si>
    <t>SM-13230 / SILVER / BASE WITH COVER</t>
  </si>
  <si>
    <t>SM-13230 / SILVER / BASE A</t>
  </si>
  <si>
    <t>SM-13230 / SILVER / BASE B</t>
  </si>
  <si>
    <t>SM-13230 / SILVER / BASE C</t>
  </si>
  <si>
    <t>SM-13230 / BRONZE / BASE WITH COVER</t>
  </si>
  <si>
    <t>SM-13230 / BRONZE / BASE WITHOUT COVER</t>
  </si>
  <si>
    <t>SM-13230 / BRONZE / BASE A</t>
  </si>
  <si>
    <t>SM-13230 / BRONZE / BASE B</t>
  </si>
  <si>
    <t>SM-13230 / BRONZE / BASE C</t>
  </si>
  <si>
    <t>13228 (B)</t>
  </si>
  <si>
    <t>H25- 1</t>
  </si>
  <si>
    <t>JZ 19821</t>
  </si>
  <si>
    <t>YK - 628</t>
  </si>
  <si>
    <t>YK - 1370</t>
  </si>
  <si>
    <t>W038 / A</t>
  </si>
  <si>
    <t>W038 / B</t>
  </si>
  <si>
    <t>W038 / C</t>
  </si>
  <si>
    <t>SR-116 A / BLUE</t>
  </si>
  <si>
    <t>SR-116 A / RED</t>
  </si>
  <si>
    <t>SL245#3</t>
  </si>
  <si>
    <t>SL243#3</t>
  </si>
  <si>
    <t>TSL232#3 / BLUE</t>
  </si>
  <si>
    <t>TSL232#3 / RED</t>
  </si>
  <si>
    <t>4942</t>
  </si>
  <si>
    <t>4943</t>
  </si>
  <si>
    <t>CRYSTAL / CRYSTAL MEDAL / DESIGN A</t>
  </si>
  <si>
    <t>CRYSTAL / CRYSTAL MEDAL / DESIGN B</t>
  </si>
  <si>
    <t>CRYSTAL / CRYSTAL MEDAL / DESIGN C</t>
  </si>
  <si>
    <t>CRYSTAL / 80-B / DESIGN 1</t>
  </si>
  <si>
    <t>CRYSTAL / 80-B / DESIGN 2</t>
  </si>
  <si>
    <t>CRYSTAL / 80-B / DESIGN 3</t>
  </si>
  <si>
    <t>CRYSTAL / R-100 / DESIGN A</t>
  </si>
  <si>
    <t>CRYSTAL / R-100 / DESIGN B</t>
  </si>
  <si>
    <t>CRYSTAL / R-100 / DESIGN C</t>
  </si>
  <si>
    <t>CRYSTAL / 10030 / DESIGN A</t>
  </si>
  <si>
    <t>CRYSTAL / 10030 / DESIGN B</t>
  </si>
  <si>
    <t>CRYSTAL / 10030 / DESIGN C</t>
  </si>
  <si>
    <t>CRYSTAL / 00S / DESIGN A</t>
  </si>
  <si>
    <t>CRYSTAL / AK-7 / DESIGN A</t>
  </si>
  <si>
    <t>CRYSTAL / 00S / DESIGN B</t>
  </si>
  <si>
    <t>CRYSTAL / AK-7 / DESIGN B</t>
  </si>
  <si>
    <t>CRYSTAL / 00S / DESIGN C</t>
  </si>
  <si>
    <t>CRYSTAL / AK-7 / DESIGN C</t>
  </si>
  <si>
    <t>CRYSTAL / 0011A / DESIGN A</t>
  </si>
  <si>
    <t>CRYSTAL / 0011A / DESIGN B</t>
  </si>
  <si>
    <t>CRYSTAL / 0011A / DESIGN C</t>
  </si>
  <si>
    <t>CRYSTAL / SA4 / DESIGN A</t>
  </si>
  <si>
    <t>CRYSTAL / SA4 / DESIGN B</t>
  </si>
  <si>
    <t>CRYSTAL / SA4 / DESIGN C</t>
  </si>
  <si>
    <t>CRYSTAL / R-7 / DESIGN A</t>
  </si>
  <si>
    <t>CRYSTAL / R-7 / DESIGN B</t>
  </si>
  <si>
    <t>CRYSTAL / R-7 / DESIGN C</t>
  </si>
  <si>
    <t>CRYSTAL / CA-15 / DESIGN A</t>
  </si>
  <si>
    <t>CRYSTAL / CA-15 / DESIGN B</t>
  </si>
  <si>
    <t>CRYSTAL / CA-15 / DESIGN C</t>
  </si>
  <si>
    <t>CRYSTAL / PSA-3 / DESIGN A</t>
  </si>
  <si>
    <t>CRYSTAL / PSA-3 / DESIGN B</t>
  </si>
  <si>
    <t>CRYSTAL / PSA-3 / DESIGN C</t>
  </si>
  <si>
    <t>CRYSTAL / CM-27 / DESIGN A</t>
  </si>
  <si>
    <t>CRYSTAL / CM-27 / DESIGN B</t>
  </si>
  <si>
    <t>CRYSTAL / CM-27 / DESIGN C</t>
  </si>
  <si>
    <t>CRYSTAL / 11-3 / DESIGN A</t>
  </si>
  <si>
    <t>CRYSTAL / 11-3 / DESIGN B</t>
  </si>
  <si>
    <t>CRYSTAL / 11-3 / DESIGN C</t>
  </si>
  <si>
    <t>CRYSTAL / 0171 / DESIGN A</t>
  </si>
  <si>
    <t>CRYSTAL / 0171 / DESIGN B</t>
  </si>
  <si>
    <t>CRYSTAL / 0171 / DESIGN C</t>
  </si>
  <si>
    <t>CRYSTAL / XB-5A / DESIGN A</t>
  </si>
  <si>
    <t>CRYSTAL / XB-5A / DESIGN B</t>
  </si>
  <si>
    <t>CRYSTAL / XB-5A / DESIGN C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</si>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</sst>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RM&quot;#,##0.00"/>
  </numFmts>
  <fonts count="51">
    <font>
      <sz val="11"/>
      <color indexed="8"/>
      <name val="Calibri"/>
      <charset val="134"/>
    </font>
    <font>
      <b/>
      <sz val="16"/>
      <color rgb="FFFFFFFF"/>
      <name val="Arial"/>
      <charset val="134"/>
    </font>
    <font>
      <b/>
      <sz val="12"/>
      <color rgb="FF000000"/>
      <name val="Arial"/>
      <charset val="134"/>
    </font>
    <font>
      <sz val="10"/>
      <color rgb="FF595959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b/>
      <sz val="22"/>
      <color rgb="FFC00000"/>
      <name val="Arial"/>
      <charset val="134"/>
    </font>
    <font>
      <sz val="13"/>
      <color rgb="FF000000"/>
      <name val="Arial"/>
      <charset val="134"/>
    </font>
    <font>
      <b/>
      <sz val="11"/>
      <color rgb="FFC00000"/>
      <name val="Arial"/>
      <charset val="134"/>
    </font>
    <font>
      <sz val="10"/>
      <color rgb="FF404040"/>
      <name val="Arial"/>
      <charset val="134"/>
    </font>
    <font>
      <b/>
      <sz val="10"/>
      <color rgb="FF000000"/>
      <name val="Arial"/>
      <charset val="134"/>
    </font>
    <font>
      <b/>
      <sz val="18"/>
      <color rgb="FFC00000"/>
      <name val="Arial"/>
      <charset val="134"/>
    </font>
    <font>
      <b/>
      <sz val="9"/>
      <color rgb="FF7F7F7F"/>
      <name val="Arial"/>
      <charset val="134"/>
    </font>
    <font>
      <i/>
      <sz val="11"/>
      <color rgb="FF7F7F7F"/>
      <name val="Arial"/>
      <charset val="134"/>
    </font>
    <font>
      <sz val="11"/>
      <color rgb="FF7F7F7F"/>
      <name val="Arial"/>
      <charset val="134"/>
    </font>
    <font>
      <sz val="11"/>
      <color rgb="FF000000"/>
      <name val="Arial"/>
      <charset val="134"/>
    </font>
    <font>
      <sz val="10"/>
      <color rgb="FF000000"/>
      <name val="Arial"/>
      <charset val="134"/>
    </font>
    <font>
      <b/>
      <sz val="13"/>
      <color rgb="FFFFFFFF"/>
      <name val="Arial"/>
      <charset val="134"/>
    </font>
    <font>
      <b/>
      <sz val="16"/>
      <color rgb="FF000000"/>
      <name val="Arial"/>
      <charset val="134"/>
    </font>
    <font>
      <b/>
      <sz val="13"/>
      <color rgb="FF000000"/>
      <name val="Arial"/>
      <charset val="134"/>
    </font>
    <font>
      <sz val="12"/>
      <color indexed="8"/>
      <name val="Calibri"/>
      <charset val="134"/>
    </font>
    <font>
      <b/>
      <sz val="18"/>
      <color rgb="FF000000"/>
      <name val="Calibri"/>
      <charset val="134"/>
    </font>
    <font>
      <b/>
      <sz val="13"/>
      <color indexed="8"/>
      <name val="Calibri"/>
      <charset val="134"/>
    </font>
    <font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2"/>
      <color indexed="8"/>
      <name val="Calibri"/>
      <charset val="134"/>
    </font>
    <font>
      <b/>
      <sz val="14"/>
      <color indexed="8"/>
      <name val="Calibri"/>
      <charset val="134"/>
    </font>
    <font>
      <sz val="8"/>
      <color indexed="8"/>
      <name val="Calibri"/>
      <charset val="134"/>
    </font>
    <font>
      <b/>
      <sz val="18"/>
      <color indexed="8"/>
      <name val="Calibri"/>
      <charset val="134"/>
    </font>
    <font>
      <sz val="22"/>
      <color rgb="FF000000"/>
      <name val="Calibri"/>
      <charset val="134"/>
    </font>
    <font>
      <b/>
      <i/>
      <sz val="12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0"/>
      </left>
      <right/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/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indexed="0"/>
      </left>
      <right/>
      <top style="thin">
        <color auto="1"/>
      </top>
      <bottom style="thin">
        <color auto="1"/>
      </bottom>
      <diagonal/>
    </border>
    <border>
      <left style="thin">
        <color indexed="0"/>
      </left>
      <right/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indexed="0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0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 style="thin">
        <color auto="1"/>
      </right>
      <top style="thin">
        <color indexed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indexed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1" fillId="0" borderId="0">
      <alignment vertical="center"/>
    </xf>
    <xf numFmtId="44" fontId="31" fillId="0" borderId="0">
      <alignment vertical="center"/>
    </xf>
    <xf numFmtId="9" fontId="31" fillId="0" borderId="0">
      <alignment vertical="center"/>
    </xf>
    <xf numFmtId="177" fontId="31" fillId="0" borderId="0">
      <alignment vertical="center"/>
    </xf>
    <xf numFmtId="42" fontId="31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1" fillId="8" borderId="64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65">
      <alignment vertical="center"/>
    </xf>
    <xf numFmtId="0" fontId="38" fillId="0" borderId="65">
      <alignment vertical="center"/>
    </xf>
    <xf numFmtId="0" fontId="39" fillId="0" borderId="66">
      <alignment vertical="center"/>
    </xf>
    <xf numFmtId="0" fontId="39" fillId="0" borderId="0">
      <alignment vertical="center"/>
    </xf>
    <xf numFmtId="0" fontId="40" fillId="9" borderId="67">
      <alignment vertical="center"/>
    </xf>
    <xf numFmtId="0" fontId="41" fillId="10" borderId="68">
      <alignment vertical="center"/>
    </xf>
    <xf numFmtId="0" fontId="42" fillId="10" borderId="67">
      <alignment vertical="center"/>
    </xf>
    <xf numFmtId="0" fontId="43" fillId="11" borderId="69">
      <alignment vertical="center"/>
    </xf>
    <xf numFmtId="0" fontId="44" fillId="0" borderId="70">
      <alignment vertical="center"/>
    </xf>
    <xf numFmtId="0" fontId="45" fillId="0" borderId="71">
      <alignment vertical="center"/>
    </xf>
    <xf numFmtId="0" fontId="46" fillId="12" borderId="0">
      <alignment vertical="center"/>
    </xf>
    <xf numFmtId="0" fontId="47" fillId="13" borderId="0">
      <alignment vertical="center"/>
    </xf>
    <xf numFmtId="0" fontId="48" fillId="14" borderId="0">
      <alignment vertical="center"/>
    </xf>
    <xf numFmtId="0" fontId="49" fillId="15" borderId="0">
      <alignment vertical="center"/>
    </xf>
    <xf numFmtId="0" fontId="50" fillId="16" borderId="0">
      <alignment vertical="center"/>
    </xf>
    <xf numFmtId="0" fontId="50" fillId="17" borderId="0">
      <alignment vertical="center"/>
    </xf>
    <xf numFmtId="0" fontId="49" fillId="18" borderId="0">
      <alignment vertical="center"/>
    </xf>
    <xf numFmtId="0" fontId="49" fillId="19" borderId="0">
      <alignment vertical="center"/>
    </xf>
    <xf numFmtId="0" fontId="50" fillId="20" borderId="0">
      <alignment vertical="center"/>
    </xf>
    <xf numFmtId="0" fontId="50" fillId="21" borderId="0">
      <alignment vertical="center"/>
    </xf>
    <xf numFmtId="0" fontId="49" fillId="22" borderId="0">
      <alignment vertical="center"/>
    </xf>
    <xf numFmtId="0" fontId="49" fillId="23" borderId="0">
      <alignment vertical="center"/>
    </xf>
    <xf numFmtId="0" fontId="50" fillId="24" borderId="0">
      <alignment vertical="center"/>
    </xf>
    <xf numFmtId="0" fontId="50" fillId="25" borderId="0">
      <alignment vertical="center"/>
    </xf>
    <xf numFmtId="0" fontId="49" fillId="26" borderId="0">
      <alignment vertical="center"/>
    </xf>
    <xf numFmtId="0" fontId="49" fillId="27" borderId="0">
      <alignment vertical="center"/>
    </xf>
    <xf numFmtId="0" fontId="50" fillId="28" borderId="0">
      <alignment vertical="center"/>
    </xf>
    <xf numFmtId="0" fontId="50" fillId="29" borderId="0">
      <alignment vertical="center"/>
    </xf>
    <xf numFmtId="0" fontId="49" fillId="30" borderId="0">
      <alignment vertical="center"/>
    </xf>
    <xf numFmtId="0" fontId="49" fillId="31" borderId="0">
      <alignment vertical="center"/>
    </xf>
    <xf numFmtId="0" fontId="50" fillId="32" borderId="0">
      <alignment vertical="center"/>
    </xf>
    <xf numFmtId="0" fontId="50" fillId="33" borderId="0">
      <alignment vertical="center"/>
    </xf>
    <xf numFmtId="0" fontId="49" fillId="34" borderId="0">
      <alignment vertical="center"/>
    </xf>
    <xf numFmtId="0" fontId="49" fillId="35" borderId="0">
      <alignment vertical="center"/>
    </xf>
    <xf numFmtId="0" fontId="50" fillId="36" borderId="0">
      <alignment vertical="center"/>
    </xf>
    <xf numFmtId="0" fontId="50" fillId="37" borderId="0">
      <alignment vertical="center"/>
    </xf>
    <xf numFmtId="0" fontId="49" fillId="38" borderId="0">
      <alignment vertical="center"/>
    </xf>
  </cellStyleXfs>
  <cellXfs count="16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0" fillId="4" borderId="1" xfId="0" applyFill="1" applyBorder="1"/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/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78" fontId="13" fillId="5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178" fontId="15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15" fillId="5" borderId="1" xfId="0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right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left" vertical="center" wrapText="1"/>
    </xf>
    <xf numFmtId="178" fontId="19" fillId="5" borderId="1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23" fillId="6" borderId="0" xfId="0" applyFont="1" applyFill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4" borderId="2" xfId="0" applyFont="1" applyFill="1" applyBorder="1" applyAlignment="1">
      <alignment horizontal="center"/>
    </xf>
    <xf numFmtId="0" fontId="0" fillId="0" borderId="2" xfId="0" applyBorder="1"/>
    <xf numFmtId="0" fontId="20" fillId="0" borderId="0" xfId="0" applyFont="1" applyAlignment="1">
      <alignment horizont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4" borderId="6" xfId="0" applyFill="1" applyBorder="1"/>
    <xf numFmtId="0" fontId="0" fillId="4" borderId="7" xfId="0" applyFill="1" applyBorder="1"/>
    <xf numFmtId="0" fontId="20" fillId="4" borderId="3" xfId="0" applyFont="1" applyFill="1" applyBorder="1" applyAlignment="1">
      <alignment horizontal="left" vertical="center"/>
    </xf>
    <xf numFmtId="0" fontId="20" fillId="4" borderId="3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2" xfId="0" applyFont="1" applyBorder="1" applyAlignment="1">
      <alignment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1" xfId="0" applyBorder="1"/>
    <xf numFmtId="0" fontId="20" fillId="4" borderId="12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0" xfId="0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0" fillId="0" borderId="0" xfId="0" applyFont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0" fillId="0" borderId="7" xfId="0" applyBorder="1"/>
    <xf numFmtId="0" fontId="20" fillId="0" borderId="1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20" fillId="0" borderId="19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20" fillId="4" borderId="28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0" fontId="0" fillId="0" borderId="29" xfId="0" applyBorder="1"/>
    <xf numFmtId="0" fontId="0" fillId="0" borderId="16" xfId="0" applyBorder="1"/>
    <xf numFmtId="0" fontId="20" fillId="5" borderId="30" xfId="0" applyFont="1" applyFill="1" applyBorder="1" applyAlignment="1">
      <alignment horizontal="center" vertical="center"/>
    </xf>
    <xf numFmtId="0" fontId="0" fillId="5" borderId="29" xfId="0" applyFill="1" applyBorder="1"/>
    <xf numFmtId="0" fontId="0" fillId="5" borderId="31" xfId="0" applyFill="1" applyBorder="1"/>
    <xf numFmtId="0" fontId="20" fillId="0" borderId="20" xfId="0" applyFont="1" applyBorder="1" applyAlignment="1">
      <alignment horizontal="center" vertical="center"/>
    </xf>
    <xf numFmtId="0" fontId="0" fillId="5" borderId="16" xfId="0" applyFill="1" applyBorder="1"/>
    <xf numFmtId="0" fontId="20" fillId="0" borderId="32" xfId="0" applyFont="1" applyBorder="1" applyAlignment="1">
      <alignment horizontal="center" vertical="center"/>
    </xf>
    <xf numFmtId="0" fontId="20" fillId="5" borderId="32" xfId="0" applyFont="1" applyFill="1" applyBorder="1" applyAlignment="1">
      <alignment horizontal="center" vertical="center"/>
    </xf>
    <xf numFmtId="0" fontId="0" fillId="5" borderId="33" xfId="0" applyFill="1" applyBorder="1"/>
    <xf numFmtId="0" fontId="0" fillId="5" borderId="34" xfId="0" applyFill="1" applyBorder="1"/>
    <xf numFmtId="0" fontId="0" fillId="0" borderId="6" xfId="0" applyBorder="1"/>
    <xf numFmtId="0" fontId="20" fillId="0" borderId="35" xfId="0" applyFont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20" fillId="0" borderId="38" xfId="0" applyFont="1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20" fillId="5" borderId="41" xfId="0" applyFont="1" applyFill="1" applyBorder="1" applyAlignment="1">
      <alignment horizontal="center" vertical="center"/>
    </xf>
    <xf numFmtId="0" fontId="0" fillId="5" borderId="42" xfId="0" applyFill="1" applyBorder="1"/>
    <xf numFmtId="0" fontId="0" fillId="5" borderId="43" xfId="0" applyFill="1" applyBorder="1"/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0" fillId="0" borderId="20" xfId="0" applyBorder="1"/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0" fontId="20" fillId="0" borderId="47" xfId="0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9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6" fillId="0" borderId="17" xfId="0" applyFont="1" applyBorder="1" applyAlignment="1">
      <alignment vertical="center"/>
    </xf>
    <xf numFmtId="0" fontId="25" fillId="5" borderId="20" xfId="0" applyFont="1" applyFill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0" fontId="20" fillId="4" borderId="50" xfId="0" applyFont="1" applyFill="1" applyBorder="1" applyAlignment="1">
      <alignment horizontal="center"/>
    </xf>
    <xf numFmtId="0" fontId="0" fillId="4" borderId="51" xfId="0" applyFill="1" applyBorder="1"/>
    <xf numFmtId="0" fontId="0" fillId="4" borderId="52" xfId="0" applyFill="1" applyBorder="1"/>
    <xf numFmtId="0" fontId="20" fillId="4" borderId="53" xfId="0" applyFont="1" applyFill="1" applyBorder="1" applyAlignment="1">
      <alignment horizontal="center"/>
    </xf>
    <xf numFmtId="0" fontId="0" fillId="4" borderId="54" xfId="0" applyFill="1" applyBorder="1"/>
    <xf numFmtId="0" fontId="20" fillId="4" borderId="55" xfId="0" applyFont="1" applyFill="1" applyBorder="1" applyAlignment="1">
      <alignment horizontal="center"/>
    </xf>
    <xf numFmtId="0" fontId="0" fillId="4" borderId="56" xfId="0" applyFill="1" applyBorder="1"/>
    <xf numFmtId="0" fontId="0" fillId="4" borderId="57" xfId="0" applyFill="1" applyBorder="1"/>
    <xf numFmtId="0" fontId="20" fillId="4" borderId="58" xfId="0" applyFont="1" applyFill="1" applyBorder="1" applyAlignment="1">
      <alignment horizontal="center" vertical="center"/>
    </xf>
    <xf numFmtId="0" fontId="20" fillId="0" borderId="59" xfId="0" applyFont="1" applyBorder="1" applyAlignment="1">
      <alignment vertical="center"/>
    </xf>
    <xf numFmtId="0" fontId="20" fillId="0" borderId="60" xfId="0" applyFont="1" applyBorder="1" applyAlignment="1">
      <alignment vertical="center"/>
    </xf>
    <xf numFmtId="0" fontId="20" fillId="4" borderId="38" xfId="0" applyFont="1" applyFill="1" applyBorder="1" applyAlignment="1">
      <alignment horizontal="center" vertical="center"/>
    </xf>
    <xf numFmtId="0" fontId="26" fillId="0" borderId="61" xfId="0" applyFont="1" applyBorder="1" applyAlignment="1">
      <alignment horizontal="center" vertical="center"/>
    </xf>
    <xf numFmtId="0" fontId="20" fillId="5" borderId="20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29" fillId="7" borderId="0" xfId="0" applyFont="1" applyFill="1" applyAlignment="1">
      <alignment vertical="center"/>
    </xf>
    <xf numFmtId="0" fontId="20" fillId="4" borderId="2" xfId="0" applyFont="1" applyFill="1" applyBorder="1"/>
    <xf numFmtId="0" fontId="23" fillId="0" borderId="0" xfId="0" applyFont="1" applyAlignment="1">
      <alignment vertical="center" wrapText="1"/>
    </xf>
    <xf numFmtId="0" fontId="20" fillId="0" borderId="62" xfId="0" applyFont="1" applyBorder="1" applyAlignment="1">
      <alignment vertical="center"/>
    </xf>
    <xf numFmtId="0" fontId="26" fillId="0" borderId="6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 wrapText="1"/>
    </xf>
    <xf numFmtId="0" fontId="25" fillId="5" borderId="1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8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6" borderId="2" xfId="0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theme="1" tint="0.249977111117893"/>
      </font>
    </dxf>
    <dxf>
      <font>
        <color theme="1" tint="0.349986266670736"/>
      </font>
    </dxf>
    <dxf>
      <font>
        <b val="1"/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7" Type="http://schemas.openxmlformats.org/officeDocument/2006/relationships/image" Target="../media/image11.png"/><Relationship Id="rId6" Type="http://schemas.openxmlformats.org/officeDocument/2006/relationships/image" Target="../media/image8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12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7" Type="http://schemas.openxmlformats.org/officeDocument/2006/relationships/image" Target="../media/image1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7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8.png"/><Relationship Id="rId4" Type="http://schemas.openxmlformats.org/officeDocument/2006/relationships/image" Target="../media/image14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7" Type="http://schemas.openxmlformats.org/officeDocument/2006/relationships/image" Target="../media/image18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3" Type="http://schemas.openxmlformats.org/officeDocument/2006/relationships/image" Target="../media/image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7" Type="http://schemas.openxmlformats.org/officeDocument/2006/relationships/image" Target="../media/image20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3" Type="http://schemas.openxmlformats.org/officeDocument/2006/relationships/image" Target="../media/image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6" Type="http://schemas.openxmlformats.org/officeDocument/2006/relationships/image" Target="../media/image23.png"/><Relationship Id="rId5" Type="http://schemas.openxmlformats.org/officeDocument/2006/relationships/image" Target="../media/image8.png"/><Relationship Id="rId4" Type="http://schemas.openxmlformats.org/officeDocument/2006/relationships/image" Target="../media/image22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6" Type="http://schemas.openxmlformats.org/officeDocument/2006/relationships/image" Target="../media/image25.png"/><Relationship Id="rId5" Type="http://schemas.openxmlformats.org/officeDocument/2006/relationships/image" Target="../media/image8.png"/><Relationship Id="rId4" Type="http://schemas.openxmlformats.org/officeDocument/2006/relationships/image" Target="../media/image4.png"/><Relationship Id="rId3" Type="http://schemas.openxmlformats.org/officeDocument/2006/relationships/image" Target="../media/image2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6" Type="http://schemas.openxmlformats.org/officeDocument/2006/relationships/image" Target="../media/image23.png"/><Relationship Id="rId5" Type="http://schemas.openxmlformats.org/officeDocument/2006/relationships/image" Target="../media/image26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5838825" cy="47625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0"/>
          <a:ext cx="5838825" cy="4762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40640</xdr:colOff>
      <xdr:row>1</xdr:row>
      <xdr:rowOff>74930</xdr:rowOff>
    </xdr:from>
    <xdr:to>
      <xdr:col>2</xdr:col>
      <xdr:colOff>231775</xdr:colOff>
      <xdr:row>1</xdr:row>
      <xdr:rowOff>259715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69460" y="417830"/>
          <a:ext cx="191135" cy="18478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2</xdr:col>
      <xdr:colOff>24130</xdr:colOff>
      <xdr:row>2</xdr:row>
      <xdr:rowOff>41275</xdr:rowOff>
    </xdr:from>
    <xdr:to>
      <xdr:col>2</xdr:col>
      <xdr:colOff>236855</xdr:colOff>
      <xdr:row>2</xdr:row>
      <xdr:rowOff>242570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52950" y="841375"/>
          <a:ext cx="212725" cy="20129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2</xdr:col>
      <xdr:colOff>24130</xdr:colOff>
      <xdr:row>3</xdr:row>
      <xdr:rowOff>54610</xdr:rowOff>
    </xdr:from>
    <xdr:to>
      <xdr:col>2</xdr:col>
      <xdr:colOff>236220</xdr:colOff>
      <xdr:row>3</xdr:row>
      <xdr:rowOff>257175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552950" y="1311910"/>
          <a:ext cx="212090" cy="2025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2</xdr:col>
      <xdr:colOff>18415</xdr:colOff>
      <xdr:row>4</xdr:row>
      <xdr:rowOff>55880</xdr:rowOff>
    </xdr:from>
    <xdr:to>
      <xdr:col>2</xdr:col>
      <xdr:colOff>226060</xdr:colOff>
      <xdr:row>4</xdr:row>
      <xdr:rowOff>271780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547235" y="1846580"/>
          <a:ext cx="207645" cy="2159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12700</xdr:colOff>
      <xdr:row>1</xdr:row>
      <xdr:rowOff>38100</xdr:rowOff>
    </xdr:from>
    <xdr:to>
      <xdr:col>1</xdr:col>
      <xdr:colOff>805815</xdr:colOff>
      <xdr:row>5</xdr:row>
      <xdr:rowOff>50800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700" y="381000"/>
          <a:ext cx="3905250" cy="19558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12</xdr:col>
      <xdr:colOff>256540</xdr:colOff>
      <xdr:row>0</xdr:row>
      <xdr:rowOff>175260</xdr:rowOff>
    </xdr:from>
    <xdr:to>
      <xdr:col>16</xdr:col>
      <xdr:colOff>436080</xdr:colOff>
      <xdr:row>8</xdr:row>
      <xdr:rowOff>50954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795750" y="175260"/>
          <a:ext cx="3569335" cy="29133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497205</xdr:colOff>
      <xdr:row>1</xdr:row>
      <xdr:rowOff>4445</xdr:rowOff>
    </xdr:from>
    <xdr:to>
      <xdr:col>11</xdr:col>
      <xdr:colOff>691515</xdr:colOff>
      <xdr:row>2</xdr:row>
      <xdr:rowOff>336550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194165" y="347345"/>
          <a:ext cx="7293610" cy="78930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oneCellAnchor>
    <xdr:from>
      <xdr:col>5</xdr:col>
      <xdr:colOff>0</xdr:colOff>
      <xdr:row>7</xdr:row>
      <xdr:rowOff>0</xdr:rowOff>
    </xdr:from>
    <xdr:ext cx="4991100" cy="421005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9439910" y="2814320"/>
          <a:ext cx="4991100" cy="42100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4095750" cy="287655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8696960" y="8623935"/>
          <a:ext cx="4095750" cy="28765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74930</xdr:rowOff>
    </xdr:from>
    <xdr:to>
      <xdr:col>1</xdr:col>
      <xdr:colOff>191135</xdr:colOff>
      <xdr:row>1</xdr:row>
      <xdr:rowOff>259715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03065" y="405130"/>
          <a:ext cx="191135" cy="18478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2</xdr:row>
      <xdr:rowOff>41275</xdr:rowOff>
    </xdr:from>
    <xdr:to>
      <xdr:col>1</xdr:col>
      <xdr:colOff>212725</xdr:colOff>
      <xdr:row>3</xdr:row>
      <xdr:rowOff>19050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03065" y="854075"/>
          <a:ext cx="212725" cy="20129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3</xdr:row>
      <xdr:rowOff>54610</xdr:rowOff>
    </xdr:from>
    <xdr:to>
      <xdr:col>1</xdr:col>
      <xdr:colOff>212090</xdr:colOff>
      <xdr:row>4</xdr:row>
      <xdr:rowOff>33655</xdr:rowOff>
    </xdr:to>
    <xdr:pic>
      <xdr:nvPicPr>
        <xdr:cNvPr id="6" name="Picture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03065" y="1090930"/>
          <a:ext cx="212090" cy="2025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4</xdr:row>
      <xdr:rowOff>55880</xdr:rowOff>
    </xdr:from>
    <xdr:to>
      <xdr:col>1</xdr:col>
      <xdr:colOff>207645</xdr:colOff>
      <xdr:row>5</xdr:row>
      <xdr:rowOff>58420</xdr:rowOff>
    </xdr:to>
    <xdr:pic>
      <xdr:nvPicPr>
        <xdr:cNvPr id="7" name="Picture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203065" y="1315720"/>
          <a:ext cx="207645" cy="2159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12700</xdr:colOff>
      <xdr:row>1</xdr:row>
      <xdr:rowOff>38100</xdr:rowOff>
    </xdr:from>
    <xdr:to>
      <xdr:col>0</xdr:col>
      <xdr:colOff>3443605</xdr:colOff>
      <xdr:row>6</xdr:row>
      <xdr:rowOff>54468</xdr:rowOff>
    </xdr:to>
    <xdr:pic>
      <xdr:nvPicPr>
        <xdr:cNvPr id="8" name="Picture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700" y="368300"/>
          <a:ext cx="3430905" cy="138239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318135</xdr:colOff>
      <xdr:row>0</xdr:row>
      <xdr:rowOff>301625</xdr:rowOff>
    </xdr:from>
    <xdr:to>
      <xdr:col>11</xdr:col>
      <xdr:colOff>459105</xdr:colOff>
      <xdr:row>3</xdr:row>
      <xdr:rowOff>70485</xdr:rowOff>
    </xdr:to>
    <xdr:pic>
      <xdr:nvPicPr>
        <xdr:cNvPr id="2" name="Picture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900670" y="301625"/>
          <a:ext cx="7293610" cy="80518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oneCellAnchor>
    <xdr:from>
      <xdr:col>5</xdr:col>
      <xdr:colOff>0</xdr:colOff>
      <xdr:row>8</xdr:row>
      <xdr:rowOff>0</xdr:rowOff>
    </xdr:from>
    <xdr:ext cx="4714875" cy="252095"/>
    <xdr:pic>
      <xdr:nvPicPr>
        <xdr:cNvPr id="3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8325485" y="2143760"/>
          <a:ext cx="4714875" cy="25209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4095750" cy="252095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7582535" y="6983095"/>
          <a:ext cx="4095750" cy="25209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74930</xdr:rowOff>
    </xdr:from>
    <xdr:to>
      <xdr:col>1</xdr:col>
      <xdr:colOff>191135</xdr:colOff>
      <xdr:row>1</xdr:row>
      <xdr:rowOff>259715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87290" y="405130"/>
          <a:ext cx="191135" cy="18478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2</xdr:row>
      <xdr:rowOff>41275</xdr:rowOff>
    </xdr:from>
    <xdr:to>
      <xdr:col>1</xdr:col>
      <xdr:colOff>212725</xdr:colOff>
      <xdr:row>2</xdr:row>
      <xdr:rowOff>242570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87290" y="772795"/>
          <a:ext cx="212725" cy="20129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3</xdr:row>
      <xdr:rowOff>54610</xdr:rowOff>
    </xdr:from>
    <xdr:to>
      <xdr:col>1</xdr:col>
      <xdr:colOff>212090</xdr:colOff>
      <xdr:row>3</xdr:row>
      <xdr:rowOff>257175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987290" y="1187450"/>
          <a:ext cx="212090" cy="2025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4</xdr:row>
      <xdr:rowOff>55880</xdr:rowOff>
    </xdr:from>
    <xdr:to>
      <xdr:col>1</xdr:col>
      <xdr:colOff>207645</xdr:colOff>
      <xdr:row>4</xdr:row>
      <xdr:rowOff>271780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987290" y="1590040"/>
          <a:ext cx="207645" cy="2159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68580</xdr:colOff>
      <xdr:row>1</xdr:row>
      <xdr:rowOff>2540</xdr:rowOff>
    </xdr:from>
    <xdr:to>
      <xdr:col>0</xdr:col>
      <xdr:colOff>4773686</xdr:colOff>
      <xdr:row>6</xdr:row>
      <xdr:rowOff>548144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" y="332740"/>
          <a:ext cx="4704715" cy="25520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39144</xdr:colOff>
      <xdr:row>0</xdr:row>
      <xdr:rowOff>274008</xdr:rowOff>
    </xdr:from>
    <xdr:to>
      <xdr:col>9</xdr:col>
      <xdr:colOff>583816</xdr:colOff>
      <xdr:row>8</xdr:row>
      <xdr:rowOff>1391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123930" y="273685"/>
          <a:ext cx="4191000" cy="312610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4910455</xdr:colOff>
      <xdr:row>6</xdr:row>
      <xdr:rowOff>6985</xdr:rowOff>
    </xdr:from>
    <xdr:to>
      <xdr:col>4</xdr:col>
      <xdr:colOff>212725</xdr:colOff>
      <xdr:row>6</xdr:row>
      <xdr:rowOff>623570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910455" y="2343785"/>
          <a:ext cx="5644515" cy="61658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oneCellAnchor>
    <xdr:from>
      <xdr:col>5</xdr:col>
      <xdr:colOff>0</xdr:colOff>
      <xdr:row>9</xdr:row>
      <xdr:rowOff>0</xdr:rowOff>
    </xdr:from>
    <xdr:ext cx="4991100" cy="47625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11085195" y="3799840"/>
          <a:ext cx="4991100" cy="4762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4095750" cy="261620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10342245" y="9565640"/>
          <a:ext cx="4095750" cy="2616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56515</xdr:colOff>
      <xdr:row>2</xdr:row>
      <xdr:rowOff>31750</xdr:rowOff>
    </xdr:from>
    <xdr:to>
      <xdr:col>0</xdr:col>
      <xdr:colOff>4083050</xdr:colOff>
      <xdr:row>6</xdr:row>
      <xdr:rowOff>69850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515" y="605790"/>
          <a:ext cx="4026535" cy="13055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</xdr:col>
      <xdr:colOff>40640</xdr:colOff>
      <xdr:row>2</xdr:row>
      <xdr:rowOff>74930</xdr:rowOff>
    </xdr:from>
    <xdr:to>
      <xdr:col>1</xdr:col>
      <xdr:colOff>231775</xdr:colOff>
      <xdr:row>2</xdr:row>
      <xdr:rowOff>259715</xdr:rowOff>
    </xdr:to>
    <xdr:pic>
      <xdr:nvPicPr>
        <xdr:cNvPr id="7" name="Picture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22215" y="648970"/>
          <a:ext cx="191135" cy="18478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</xdr:col>
      <xdr:colOff>24130</xdr:colOff>
      <xdr:row>3</xdr:row>
      <xdr:rowOff>41275</xdr:rowOff>
    </xdr:from>
    <xdr:to>
      <xdr:col>1</xdr:col>
      <xdr:colOff>236855</xdr:colOff>
      <xdr:row>4</xdr:row>
      <xdr:rowOff>19050</xdr:rowOff>
    </xdr:to>
    <xdr:pic>
      <xdr:nvPicPr>
        <xdr:cNvPr id="12" name="Picture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05705" y="1212215"/>
          <a:ext cx="212725" cy="20129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</xdr:col>
      <xdr:colOff>24130</xdr:colOff>
      <xdr:row>4</xdr:row>
      <xdr:rowOff>54610</xdr:rowOff>
    </xdr:from>
    <xdr:to>
      <xdr:col>1</xdr:col>
      <xdr:colOff>236220</xdr:colOff>
      <xdr:row>5</xdr:row>
      <xdr:rowOff>33655</xdr:rowOff>
    </xdr:to>
    <xdr:pic>
      <xdr:nvPicPr>
        <xdr:cNvPr id="13" name="Picture 1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05705" y="1449070"/>
          <a:ext cx="212090" cy="2025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</xdr:col>
      <xdr:colOff>18415</xdr:colOff>
      <xdr:row>5</xdr:row>
      <xdr:rowOff>55880</xdr:rowOff>
    </xdr:from>
    <xdr:to>
      <xdr:col>1</xdr:col>
      <xdr:colOff>226060</xdr:colOff>
      <xdr:row>6</xdr:row>
      <xdr:rowOff>48260</xdr:rowOff>
    </xdr:to>
    <xdr:pic>
      <xdr:nvPicPr>
        <xdr:cNvPr id="14" name="Picture 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999990" y="1673860"/>
          <a:ext cx="207645" cy="2159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389255</xdr:colOff>
      <xdr:row>1</xdr:row>
      <xdr:rowOff>332740</xdr:rowOff>
    </xdr:from>
    <xdr:to>
      <xdr:col>10</xdr:col>
      <xdr:colOff>671195</xdr:colOff>
      <xdr:row>3</xdr:row>
      <xdr:rowOff>191770</xdr:rowOff>
    </xdr:to>
    <xdr:pic>
      <xdr:nvPicPr>
        <xdr:cNvPr id="3" name="Picture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236200" y="574040"/>
          <a:ext cx="7293610" cy="78867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oneCellAnchor>
    <xdr:from>
      <xdr:col>5</xdr:col>
      <xdr:colOff>0</xdr:colOff>
      <xdr:row>9</xdr:row>
      <xdr:rowOff>0</xdr:rowOff>
    </xdr:from>
    <xdr:ext cx="4714875" cy="233045"/>
    <xdr:pic>
      <xdr:nvPicPr>
        <xdr:cNvPr id="4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9846945" y="2532380"/>
          <a:ext cx="4714875" cy="23304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4095750" cy="233045"/>
    <xdr:pic>
      <xdr:nvPicPr>
        <xdr:cNvPr id="8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9103995" y="8174990"/>
          <a:ext cx="4095750" cy="23304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74930</xdr:rowOff>
    </xdr:from>
    <xdr:to>
      <xdr:col>1</xdr:col>
      <xdr:colOff>191135</xdr:colOff>
      <xdr:row>1</xdr:row>
      <xdr:rowOff>259715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69030" y="405130"/>
          <a:ext cx="191135" cy="18478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2</xdr:row>
      <xdr:rowOff>41275</xdr:rowOff>
    </xdr:from>
    <xdr:to>
      <xdr:col>1</xdr:col>
      <xdr:colOff>212725</xdr:colOff>
      <xdr:row>2</xdr:row>
      <xdr:rowOff>242570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69030" y="772795"/>
          <a:ext cx="212725" cy="20129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3</xdr:row>
      <xdr:rowOff>54610</xdr:rowOff>
    </xdr:from>
    <xdr:to>
      <xdr:col>1</xdr:col>
      <xdr:colOff>212090</xdr:colOff>
      <xdr:row>3</xdr:row>
      <xdr:rowOff>257175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69030" y="1167130"/>
          <a:ext cx="212090" cy="2025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4</xdr:row>
      <xdr:rowOff>55880</xdr:rowOff>
    </xdr:from>
    <xdr:to>
      <xdr:col>1</xdr:col>
      <xdr:colOff>207645</xdr:colOff>
      <xdr:row>4</xdr:row>
      <xdr:rowOff>271780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69030" y="1587500"/>
          <a:ext cx="207645" cy="2159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12700</xdr:colOff>
      <xdr:row>1</xdr:row>
      <xdr:rowOff>77470</xdr:rowOff>
    </xdr:from>
    <xdr:to>
      <xdr:col>0</xdr:col>
      <xdr:colOff>3656965</xdr:colOff>
      <xdr:row>4</xdr:row>
      <xdr:rowOff>291465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700" y="407670"/>
          <a:ext cx="3644265" cy="141541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560294</xdr:colOff>
      <xdr:row>0</xdr:row>
      <xdr:rowOff>268942</xdr:rowOff>
    </xdr:from>
    <xdr:to>
      <xdr:col>9</xdr:col>
      <xdr:colOff>191635</xdr:colOff>
      <xdr:row>6</xdr:row>
      <xdr:rowOff>217468</xdr:rowOff>
    </xdr:to>
    <xdr:pic>
      <xdr:nvPicPr>
        <xdr:cNvPr id="8" name="Picture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918700" y="268605"/>
          <a:ext cx="4020185" cy="209740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3598545</xdr:colOff>
      <xdr:row>5</xdr:row>
      <xdr:rowOff>283210</xdr:rowOff>
    </xdr:from>
    <xdr:to>
      <xdr:col>4</xdr:col>
      <xdr:colOff>433070</xdr:colOff>
      <xdr:row>6</xdr:row>
      <xdr:rowOff>635000</xdr:rowOff>
    </xdr:to>
    <xdr:pic>
      <xdr:nvPicPr>
        <xdr:cNvPr id="7" name="Picture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598545" y="2148840"/>
          <a:ext cx="6193155" cy="6350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oneCellAnchor>
    <xdr:from>
      <xdr:col>5</xdr:col>
      <xdr:colOff>0</xdr:colOff>
      <xdr:row>9</xdr:row>
      <xdr:rowOff>0</xdr:rowOff>
    </xdr:from>
    <xdr:ext cx="4991100" cy="47625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10101580" y="3359785"/>
          <a:ext cx="4991100" cy="4762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4095750" cy="252095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9358630" y="9154160"/>
          <a:ext cx="4095750" cy="25209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40640</xdr:colOff>
      <xdr:row>3</xdr:row>
      <xdr:rowOff>74930</xdr:rowOff>
    </xdr:from>
    <xdr:to>
      <xdr:col>5</xdr:col>
      <xdr:colOff>231775</xdr:colOff>
      <xdr:row>3</xdr:row>
      <xdr:rowOff>259715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38675" y="1028700"/>
          <a:ext cx="191135" cy="18478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24130</xdr:colOff>
      <xdr:row>4</xdr:row>
      <xdr:rowOff>41275</xdr:rowOff>
    </xdr:from>
    <xdr:to>
      <xdr:col>5</xdr:col>
      <xdr:colOff>236855</xdr:colOff>
      <xdr:row>4</xdr:row>
      <xdr:rowOff>242570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22165" y="1782445"/>
          <a:ext cx="212725" cy="20129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40640</xdr:colOff>
      <xdr:row>6</xdr:row>
      <xdr:rowOff>87630</xdr:rowOff>
    </xdr:from>
    <xdr:to>
      <xdr:col>5</xdr:col>
      <xdr:colOff>252730</xdr:colOff>
      <xdr:row>7</xdr:row>
      <xdr:rowOff>66675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638675" y="2717800"/>
          <a:ext cx="212090" cy="2025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635</xdr:colOff>
      <xdr:row>3</xdr:row>
      <xdr:rowOff>114300</xdr:rowOff>
    </xdr:from>
    <xdr:to>
      <xdr:col>4</xdr:col>
      <xdr:colOff>681355</xdr:colOff>
      <xdr:row>5</xdr:row>
      <xdr:rowOff>314325</xdr:rowOff>
    </xdr:to>
    <xdr:pic>
      <xdr:nvPicPr>
        <xdr:cNvPr id="2" name="Picture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1068070"/>
          <a:ext cx="4500880" cy="145732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9</xdr:col>
      <xdr:colOff>460375</xdr:colOff>
      <xdr:row>2</xdr:row>
      <xdr:rowOff>399415</xdr:rowOff>
    </xdr:from>
    <xdr:to>
      <xdr:col>17</xdr:col>
      <xdr:colOff>1035685</xdr:colOff>
      <xdr:row>4</xdr:row>
      <xdr:rowOff>1270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890000" y="953770"/>
          <a:ext cx="7293610" cy="78867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oneCellAnchor>
    <xdr:from>
      <xdr:col>5</xdr:col>
      <xdr:colOff>0</xdr:colOff>
      <xdr:row>7</xdr:row>
      <xdr:rowOff>0</xdr:rowOff>
    </xdr:from>
    <xdr:ext cx="4581525" cy="47625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4598035" y="2853690"/>
          <a:ext cx="4581525" cy="4762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4095750" cy="3429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3820160" y="6062980"/>
          <a:ext cx="4095750" cy="3429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568325</xdr:colOff>
      <xdr:row>20</xdr:row>
      <xdr:rowOff>135890</xdr:rowOff>
    </xdr:from>
    <xdr:to>
      <xdr:col>11</xdr:col>
      <xdr:colOff>1027120</xdr:colOff>
      <xdr:row>25</xdr:row>
      <xdr:rowOff>167421</xdr:rowOff>
    </xdr:to>
    <xdr:pic>
      <xdr:nvPicPr>
        <xdr:cNvPr id="8" name="Picture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36535" y="7865745"/>
          <a:ext cx="5494655" cy="19361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317500</xdr:colOff>
      <xdr:row>0</xdr:row>
      <xdr:rowOff>131015</xdr:rowOff>
    </xdr:from>
    <xdr:to>
      <xdr:col>3</xdr:col>
      <xdr:colOff>793750</xdr:colOff>
      <xdr:row>4</xdr:row>
      <xdr:rowOff>196228</xdr:rowOff>
    </xdr:to>
    <xdr:pic>
      <xdr:nvPicPr>
        <xdr:cNvPr id="10" name="Picture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17500" y="130810"/>
          <a:ext cx="4458970" cy="1698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29210</xdr:colOff>
      <xdr:row>0</xdr:row>
      <xdr:rowOff>305435</xdr:rowOff>
    </xdr:from>
    <xdr:to>
      <xdr:col>14</xdr:col>
      <xdr:colOff>97790</xdr:colOff>
      <xdr:row>2</xdr:row>
      <xdr:rowOff>154940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491980" y="305435"/>
          <a:ext cx="7293610" cy="78930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oneCellAnchor>
    <xdr:from>
      <xdr:col>4</xdr:col>
      <xdr:colOff>0</xdr:colOff>
      <xdr:row>1</xdr:row>
      <xdr:rowOff>74930</xdr:rowOff>
    </xdr:from>
    <xdr:ext cx="191135" cy="184785"/>
    <xdr:pic>
      <xdr:nvPicPr>
        <xdr:cNvPr id="2" name="Picture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329555" y="405130"/>
          <a:ext cx="191135" cy="18478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oneCellAnchor>
  <xdr:oneCellAnchor>
    <xdr:from>
      <xdr:col>4</xdr:col>
      <xdr:colOff>0</xdr:colOff>
      <xdr:row>2</xdr:row>
      <xdr:rowOff>41275</xdr:rowOff>
    </xdr:from>
    <xdr:ext cx="212725" cy="201295"/>
    <xdr:pic>
      <xdr:nvPicPr>
        <xdr:cNvPr id="3" name="Picture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29555" y="981075"/>
          <a:ext cx="212725" cy="20129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oneCellAnchor>
  <xdr:oneCellAnchor>
    <xdr:from>
      <xdr:col>4</xdr:col>
      <xdr:colOff>0</xdr:colOff>
      <xdr:row>3</xdr:row>
      <xdr:rowOff>41275</xdr:rowOff>
    </xdr:from>
    <xdr:ext cx="212090" cy="202565"/>
    <xdr:pic>
      <xdr:nvPicPr>
        <xdr:cNvPr id="4" name="Picture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329555" y="1331595"/>
          <a:ext cx="212090" cy="2025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oneCellAnchor>
  <xdr:oneCellAnchor>
    <xdr:from>
      <xdr:col>6</xdr:col>
      <xdr:colOff>0</xdr:colOff>
      <xdr:row>8</xdr:row>
      <xdr:rowOff>0</xdr:rowOff>
    </xdr:from>
    <xdr:ext cx="5962650" cy="476250"/>
    <xdr:pic>
      <xdr:nvPicPr>
        <xdr:cNvPr id="7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7268210" y="3030855"/>
          <a:ext cx="5962650" cy="476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4391025" cy="476250"/>
    <xdr:pic>
      <xdr:nvPicPr>
        <xdr:cNvPr id="6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731520" y="7221855"/>
          <a:ext cx="4391025" cy="4762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91440</xdr:colOff>
      <xdr:row>20</xdr:row>
      <xdr:rowOff>67945</xdr:rowOff>
    </xdr:from>
    <xdr:to>
      <xdr:col>6</xdr:col>
      <xdr:colOff>7620</xdr:colOff>
      <xdr:row>26</xdr:row>
      <xdr:rowOff>363220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2960" y="8125460"/>
          <a:ext cx="7582535" cy="25812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317500</xdr:colOff>
      <xdr:row>0</xdr:row>
      <xdr:rowOff>131015</xdr:rowOff>
    </xdr:from>
    <xdr:to>
      <xdr:col>3</xdr:col>
      <xdr:colOff>793750</xdr:colOff>
      <xdr:row>3</xdr:row>
      <xdr:rowOff>343740</xdr:rowOff>
    </xdr:to>
    <xdr:pic>
      <xdr:nvPicPr>
        <xdr:cNvPr id="6" name="Picture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17500" y="130810"/>
          <a:ext cx="4458970" cy="1698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1346200</xdr:colOff>
      <xdr:row>5</xdr:row>
      <xdr:rowOff>62865</xdr:rowOff>
    </xdr:from>
    <xdr:to>
      <xdr:col>10</xdr:col>
      <xdr:colOff>266700</xdr:colOff>
      <xdr:row>7</xdr:row>
      <xdr:rowOff>179070</xdr:rowOff>
    </xdr:to>
    <xdr:pic>
      <xdr:nvPicPr>
        <xdr:cNvPr id="7" name="Picture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28920" y="2418080"/>
          <a:ext cx="7293610" cy="78930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oneCellAnchor>
    <xdr:from>
      <xdr:col>4</xdr:col>
      <xdr:colOff>0</xdr:colOff>
      <xdr:row>1</xdr:row>
      <xdr:rowOff>74930</xdr:rowOff>
    </xdr:from>
    <xdr:ext cx="191135" cy="184785"/>
    <xdr:pic>
      <xdr:nvPicPr>
        <xdr:cNvPr id="2" name="Picture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329555" y="405130"/>
          <a:ext cx="191135" cy="18478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oneCellAnchor>
  <xdr:oneCellAnchor>
    <xdr:from>
      <xdr:col>4</xdr:col>
      <xdr:colOff>0</xdr:colOff>
      <xdr:row>2</xdr:row>
      <xdr:rowOff>41275</xdr:rowOff>
    </xdr:from>
    <xdr:ext cx="212725" cy="201295"/>
    <xdr:pic>
      <xdr:nvPicPr>
        <xdr:cNvPr id="3" name="Picture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29555" y="981075"/>
          <a:ext cx="212725" cy="20129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oneCellAnchor>
  <xdr:oneCellAnchor>
    <xdr:from>
      <xdr:col>4</xdr:col>
      <xdr:colOff>0</xdr:colOff>
      <xdr:row>3</xdr:row>
      <xdr:rowOff>41275</xdr:rowOff>
    </xdr:from>
    <xdr:ext cx="212090" cy="202565"/>
    <xdr:pic>
      <xdr:nvPicPr>
        <xdr:cNvPr id="4" name="Picture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329555" y="1527175"/>
          <a:ext cx="212090" cy="2025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oneCellAnchor>
  <xdr:oneCellAnchor>
    <xdr:from>
      <xdr:col>11</xdr:col>
      <xdr:colOff>0</xdr:colOff>
      <xdr:row>5</xdr:row>
      <xdr:rowOff>0</xdr:rowOff>
    </xdr:from>
    <xdr:ext cx="5629275" cy="47625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13806170" y="2355215"/>
          <a:ext cx="5629275" cy="47625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</xdr:row>
      <xdr:rowOff>0</xdr:rowOff>
    </xdr:from>
    <xdr:ext cx="4514850" cy="3429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8397875" y="10724515"/>
          <a:ext cx="4514850" cy="3429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40640</xdr:colOff>
      <xdr:row>1</xdr:row>
      <xdr:rowOff>74930</xdr:rowOff>
    </xdr:from>
    <xdr:to>
      <xdr:col>2</xdr:col>
      <xdr:colOff>231775</xdr:colOff>
      <xdr:row>1</xdr:row>
      <xdr:rowOff>259715</xdr:rowOff>
    </xdr:to>
    <xdr:pic>
      <xdr:nvPicPr>
        <xdr:cNvPr id="13" name="Picture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39310" y="482600"/>
          <a:ext cx="191135" cy="18478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2</xdr:col>
      <xdr:colOff>24130</xdr:colOff>
      <xdr:row>2</xdr:row>
      <xdr:rowOff>41275</xdr:rowOff>
    </xdr:from>
    <xdr:to>
      <xdr:col>2</xdr:col>
      <xdr:colOff>236855</xdr:colOff>
      <xdr:row>2</xdr:row>
      <xdr:rowOff>242570</xdr:rowOff>
    </xdr:to>
    <xdr:pic>
      <xdr:nvPicPr>
        <xdr:cNvPr id="14" name="Picture 1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22800" y="1007745"/>
          <a:ext cx="212725" cy="20129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2</xdr:col>
      <xdr:colOff>69215</xdr:colOff>
      <xdr:row>3</xdr:row>
      <xdr:rowOff>78105</xdr:rowOff>
    </xdr:from>
    <xdr:to>
      <xdr:col>2</xdr:col>
      <xdr:colOff>281305</xdr:colOff>
      <xdr:row>3</xdr:row>
      <xdr:rowOff>280670</xdr:rowOff>
    </xdr:to>
    <xdr:pic>
      <xdr:nvPicPr>
        <xdr:cNvPr id="15" name="Picture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667885" y="1425575"/>
          <a:ext cx="212090" cy="2025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284480</xdr:colOff>
      <xdr:row>0</xdr:row>
      <xdr:rowOff>227330</xdr:rowOff>
    </xdr:from>
    <xdr:to>
      <xdr:col>1</xdr:col>
      <xdr:colOff>1685925</xdr:colOff>
      <xdr:row>3</xdr:row>
      <xdr:rowOff>379277</xdr:rowOff>
    </xdr:to>
    <xdr:pic>
      <xdr:nvPicPr>
        <xdr:cNvPr id="2" name="Picture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84480" y="227330"/>
          <a:ext cx="3863340" cy="149923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6</xdr:col>
      <xdr:colOff>728345</xdr:colOff>
      <xdr:row>1</xdr:row>
      <xdr:rowOff>9525</xdr:rowOff>
    </xdr:from>
    <xdr:to>
      <xdr:col>12</xdr:col>
      <xdr:colOff>207010</xdr:colOff>
      <xdr:row>2</xdr:row>
      <xdr:rowOff>240030</xdr:rowOff>
    </xdr:to>
    <xdr:pic>
      <xdr:nvPicPr>
        <xdr:cNvPr id="3" name="Picture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841865" y="417195"/>
          <a:ext cx="7293610" cy="78930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oneCellAnchor>
    <xdr:from>
      <xdr:col>6</xdr:col>
      <xdr:colOff>0</xdr:colOff>
      <xdr:row>6</xdr:row>
      <xdr:rowOff>0</xdr:rowOff>
    </xdr:from>
    <xdr:ext cx="5876925" cy="342900"/>
    <xdr:pic>
      <xdr:nvPicPr>
        <xdr:cNvPr id="6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9113520" y="2336165"/>
          <a:ext cx="5876925" cy="3429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</xdr:row>
      <xdr:rowOff>74930</xdr:rowOff>
    </xdr:from>
    <xdr:to>
      <xdr:col>3</xdr:col>
      <xdr:colOff>191135</xdr:colOff>
      <xdr:row>1</xdr:row>
      <xdr:rowOff>259715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96890" y="482600"/>
          <a:ext cx="191135" cy="18478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3</xdr:col>
      <xdr:colOff>0</xdr:colOff>
      <xdr:row>2</xdr:row>
      <xdr:rowOff>41275</xdr:rowOff>
    </xdr:from>
    <xdr:to>
      <xdr:col>3</xdr:col>
      <xdr:colOff>212725</xdr:colOff>
      <xdr:row>2</xdr:row>
      <xdr:rowOff>242570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96890" y="1083945"/>
          <a:ext cx="212725" cy="20129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480060</xdr:colOff>
      <xdr:row>0</xdr:row>
      <xdr:rowOff>135255</xdr:rowOff>
    </xdr:from>
    <xdr:to>
      <xdr:col>2</xdr:col>
      <xdr:colOff>984250</xdr:colOff>
      <xdr:row>4</xdr:row>
      <xdr:rowOff>176530</xdr:rowOff>
    </xdr:to>
    <xdr:pic>
      <xdr:nvPicPr>
        <xdr:cNvPr id="3" name="Picture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0060" y="135255"/>
          <a:ext cx="4626610" cy="18249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0</xdr:colOff>
      <xdr:row>3</xdr:row>
      <xdr:rowOff>66675</xdr:rowOff>
    </xdr:from>
    <xdr:to>
      <xdr:col>3</xdr:col>
      <xdr:colOff>212090</xdr:colOff>
      <xdr:row>3</xdr:row>
      <xdr:rowOff>269240</xdr:rowOff>
    </xdr:to>
    <xdr:pic>
      <xdr:nvPicPr>
        <xdr:cNvPr id="7" name="Picture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96890" y="1517015"/>
          <a:ext cx="212090" cy="2025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6</xdr:col>
      <xdr:colOff>336550</xdr:colOff>
      <xdr:row>1</xdr:row>
      <xdr:rowOff>7620</xdr:rowOff>
    </xdr:from>
    <xdr:to>
      <xdr:col>12</xdr:col>
      <xdr:colOff>396875</xdr:colOff>
      <xdr:row>2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962515" y="415290"/>
          <a:ext cx="7293610" cy="78930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oneCellAnchor>
    <xdr:from>
      <xdr:col>8</xdr:col>
      <xdr:colOff>0</xdr:colOff>
      <xdr:row>6</xdr:row>
      <xdr:rowOff>0</xdr:rowOff>
    </xdr:from>
    <xdr:ext cx="5915025" cy="342900"/>
    <xdr:pic>
      <xdr:nvPicPr>
        <xdr:cNvPr id="6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12262485" y="2379345"/>
          <a:ext cx="5915025" cy="34290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694690</xdr:colOff>
      <xdr:row>0</xdr:row>
      <xdr:rowOff>314325</xdr:rowOff>
    </xdr:from>
    <xdr:to>
      <xdr:col>11</xdr:col>
      <xdr:colOff>213995</xdr:colOff>
      <xdr:row>2</xdr:row>
      <xdr:rowOff>62230</xdr:rowOff>
    </xdr:to>
    <xdr:pic>
      <xdr:nvPicPr>
        <xdr:cNvPr id="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23960" y="314325"/>
          <a:ext cx="7293610" cy="78930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oneCellAnchor>
    <xdr:from>
      <xdr:col>2</xdr:col>
      <xdr:colOff>0</xdr:colOff>
      <xdr:row>1</xdr:row>
      <xdr:rowOff>74930</xdr:rowOff>
    </xdr:from>
    <xdr:ext cx="191135" cy="184785"/>
    <xdr:pic>
      <xdr:nvPicPr>
        <xdr:cNvPr id="2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57345" y="405130"/>
          <a:ext cx="191135" cy="18478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oneCellAnchor>
  <xdr:oneCellAnchor>
    <xdr:from>
      <xdr:col>2</xdr:col>
      <xdr:colOff>0</xdr:colOff>
      <xdr:row>2</xdr:row>
      <xdr:rowOff>41275</xdr:rowOff>
    </xdr:from>
    <xdr:ext cx="212725" cy="201295"/>
    <xdr:pic>
      <xdr:nvPicPr>
        <xdr:cNvPr id="3" name="Picture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157345" y="1082675"/>
          <a:ext cx="212725" cy="20129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oneCellAnchor>
  <xdr:oneCellAnchor>
    <xdr:from>
      <xdr:col>2</xdr:col>
      <xdr:colOff>0</xdr:colOff>
      <xdr:row>3</xdr:row>
      <xdr:rowOff>78105</xdr:rowOff>
    </xdr:from>
    <xdr:ext cx="212090" cy="202565"/>
    <xdr:pic>
      <xdr:nvPicPr>
        <xdr:cNvPr id="4" name="Picture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157345" y="1588770"/>
          <a:ext cx="212090" cy="2025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oneCellAnchor>
  <xdr:oneCellAnchor>
    <xdr:from>
      <xdr:col>0</xdr:col>
      <xdr:colOff>47624</xdr:colOff>
      <xdr:row>0</xdr:row>
      <xdr:rowOff>129540</xdr:rowOff>
    </xdr:from>
    <xdr:ext cx="3221355" cy="1549978"/>
    <xdr:pic>
      <xdr:nvPicPr>
        <xdr:cNvPr id="5" name="Picture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6990" y="129540"/>
          <a:ext cx="3221355" cy="15494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oneCellAnchor>
  <xdr:oneCellAnchor>
    <xdr:from>
      <xdr:col>5</xdr:col>
      <xdr:colOff>0</xdr:colOff>
      <xdr:row>7</xdr:row>
      <xdr:rowOff>0</xdr:rowOff>
    </xdr:from>
    <xdr:ext cx="5876925" cy="3429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8129270" y="2731770"/>
          <a:ext cx="5876925" cy="342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F12" sqref="F12:G12"/>
    </sheetView>
  </sheetViews>
  <sheetFormatPr defaultColWidth="9.140625" defaultRowHeight="21.95" customHeight="1" outlineLevelCol="6"/>
  <cols>
    <col min="1" max="1" width="6.5703125" customWidth="1"/>
    <col min="2" max="5" width="12.2890625" customWidth="1"/>
    <col min="6" max="6" width="19.921875" customWidth="1"/>
    <col min="7" max="7" width="12.2890625" customWidth="1"/>
  </cols>
  <sheetData>
    <row r="1" s="37" customFormat="1" customHeight="1" spans="1:7">
      <c r="A1" s="37" t="s">
        <v>0</v>
      </c>
      <c r="F1" s="37" t="s">
        <v>1</v>
      </c>
    </row>
    <row r="2" s="37" customFormat="1" customHeight="1" spans="1:7">
      <c r="A2" s="37" t="s">
        <v>2</v>
      </c>
      <c r="F2" s="162" t="s">
        <v>3</v>
      </c>
    </row>
    <row r="3" s="37" customFormat="1" customHeight="1" spans="1:7">
      <c r="A3" s="37" t="s">
        <v>4</v>
      </c>
    </row>
    <row r="4" s="37" customFormat="1" customHeight="1" spans="1:7">
      <c r="A4" s="37" t="s">
        <v>5</v>
      </c>
    </row>
    <row r="6" customHeight="1" spans="1:7">
      <c r="B6" s="86" t="s">
        <v>6</v>
      </c>
      <c r="C6" s="73"/>
      <c r="D6" s="86" t="s">
        <v>7</v>
      </c>
      <c r="E6" s="73"/>
      <c r="F6" s="86" t="s">
        <v>8</v>
      </c>
      <c r="G6" s="73"/>
    </row>
    <row r="7" customHeight="1" spans="1:7">
      <c r="B7" s="75"/>
      <c r="C7" s="73"/>
      <c r="D7" s="75"/>
      <c r="E7" s="73"/>
      <c r="F7" s="158" t="str">
        <f>IF(OR(B7="",D7=""),"",IFERROR(VLOOKUP(B7,'SENARAI PLAK'!$A$2:$B$159,2,FALSE)*D7,""))</f>
        <v/>
      </c>
      <c r="G7" s="73"/>
    </row>
    <row r="8" customHeight="1" spans="1:7">
      <c r="B8" s="75"/>
      <c r="C8" s="73"/>
      <c r="D8" s="75"/>
      <c r="E8" s="73"/>
      <c r="F8" s="158" t="str">
        <f>IF(OR(B8="",D8=""),"",IFERROR(VLOOKUP(B8,'SENARAI PLAK'!$A$2:$B$159,2,FALSE)*D8,""))</f>
        <v/>
      </c>
      <c r="G8" s="73"/>
    </row>
    <row r="9" customHeight="1" spans="1:7">
      <c r="B9" s="75"/>
      <c r="C9" s="73"/>
      <c r="D9" s="75"/>
      <c r="E9" s="73"/>
      <c r="F9" s="158" t="str">
        <f>IF(OR(B9="",D9=""),"",IFERROR(VLOOKUP(B9,'SENARAI PLAK'!$A$2:$B$159,2,FALSE)*D9,""))</f>
        <v/>
      </c>
      <c r="G9" s="73"/>
    </row>
    <row r="10" customHeight="1" spans="1:7">
      <c r="B10" s="75"/>
      <c r="C10" s="73"/>
      <c r="D10" s="75"/>
      <c r="E10" s="73"/>
      <c r="F10" s="158" t="str">
        <f>IF(OR(B10="",D10=""),"",IFERROR(VLOOKUP(B10,'SENARAI PLAK'!$A$2:$B$159,2,FALSE)*D10,""))</f>
        <v/>
      </c>
      <c r="G10" s="73"/>
    </row>
    <row r="11" customHeight="1" spans="1:7">
      <c r="B11" s="75"/>
      <c r="C11" s="73"/>
      <c r="D11" s="75"/>
      <c r="E11" s="73"/>
      <c r="F11" s="158" t="str">
        <f>IF(OR(B11="",D11=""),"",IFERROR(VLOOKUP(B11,'SENARAI PLAK'!$A$2:$B$159,2,FALSE)*D11,""))</f>
        <v/>
      </c>
      <c r="G11" s="73"/>
    </row>
    <row r="12" customHeight="1" spans="1:7">
      <c r="B12" s="75"/>
      <c r="C12" s="73"/>
      <c r="D12" s="75"/>
      <c r="E12" s="73"/>
      <c r="F12" s="158" t="str">
        <f>IF(OR(B12="",D12=""),"",IFERROR(VLOOKUP(B12,'SENARAI PLAK'!$A$2:$B$159,2,FALSE)*D12,""))</f>
        <v/>
      </c>
      <c r="G12" s="73"/>
    </row>
    <row r="13" customHeight="1" spans="1:7">
      <c r="B13" s="75"/>
      <c r="C13" s="73"/>
      <c r="D13" s="75"/>
      <c r="E13" s="73"/>
      <c r="F13" s="158" t="str">
        <f>IF(OR(B13="",D13=""),"",IFERROR(VLOOKUP(B13,'SENARAI PLAK'!$A$2:$B$159,2,FALSE)*D13,""))</f>
        <v/>
      </c>
      <c r="G13" s="73"/>
    </row>
    <row r="14" customHeight="1" spans="1:7">
      <c r="B14" s="75"/>
      <c r="C14" s="73"/>
      <c r="D14" s="75"/>
      <c r="E14" s="73"/>
      <c r="F14" s="158" t="str">
        <f>IF(OR(B14="",D14=""),"",IFERROR(VLOOKUP(B14,'SENARAI PLAK'!$A$2:$B$159,2,FALSE)*D14,""))</f>
        <v/>
      </c>
      <c r="G14" s="73"/>
    </row>
    <row r="15" customHeight="1" spans="1:7">
      <c r="B15" s="75"/>
      <c r="C15" s="73"/>
      <c r="D15" s="75"/>
      <c r="E15" s="73"/>
      <c r="F15" s="158" t="str">
        <f>IF(OR(B15="",D15=""),"",IFERROR(VLOOKUP(B15,'SENARAI PLAK'!$A$2:$B$159,2,FALSE)*D15,""))</f>
        <v/>
      </c>
      <c r="G15" s="73"/>
    </row>
    <row r="16" s="68" customFormat="1" customHeight="1" spans="1:7">
      <c r="A16" s="68" t="s">
        <v>9</v>
      </c>
      <c r="B16" s="37"/>
      <c r="C16" s="37"/>
      <c r="D16" s="31"/>
      <c r="F16" s="163" t="s">
        <v>10</v>
      </c>
    </row>
    <row r="17" customHeight="1" spans="1:7">
      <c r="B17" s="75"/>
      <c r="C17" s="73"/>
      <c r="D17" s="75"/>
      <c r="E17" s="73"/>
      <c r="F17" s="158" t="str">
        <f>IF(OR(B17="",D17=""),"",IFERROR(VLOOKUP(B17,'SENARAI PLAK'!$A$2:$B$159,2,FALSE)*D17,""))</f>
        <v/>
      </c>
      <c r="G17" s="73"/>
    </row>
    <row r="18" customHeight="1" spans="1:7">
      <c r="B18" s="75"/>
      <c r="C18" s="73"/>
      <c r="D18" s="75"/>
      <c r="E18" s="73"/>
      <c r="F18" s="158" t="str">
        <f>IF(OR(B18="",D18=""),"",IFERROR(VLOOKUP(B18,'SENARAI PLAK'!$A$2:$B$159,2,FALSE)*D18,""))</f>
        <v/>
      </c>
      <c r="G18" s="73"/>
    </row>
    <row r="19" customHeight="1" spans="1:7">
      <c r="B19" s="75"/>
      <c r="C19" s="73"/>
      <c r="D19" s="75"/>
      <c r="E19" s="73"/>
      <c r="F19" s="158" t="str">
        <f>IF(OR(B19="",D19=""),"",IFERROR(VLOOKUP(B19,'SENARAI PLAK'!$A$2:$B$159,2,FALSE)*D19,""))</f>
        <v/>
      </c>
      <c r="G19" s="73"/>
    </row>
    <row r="20" customHeight="1" spans="1:7">
      <c r="B20" s="75"/>
      <c r="C20" s="73"/>
      <c r="D20" s="75"/>
      <c r="E20" s="73"/>
      <c r="F20" s="158" t="str">
        <f>IF(OR(B20="",D20=""),"",IFERROR(VLOOKUP(B20,'SENARAI PLAK'!$A$2:$B$159,2,FALSE)*D20,""))</f>
        <v/>
      </c>
      <c r="G20" s="73"/>
    </row>
    <row r="21" s="68" customFormat="1" customHeight="1" spans="1:7">
      <c r="A21" s="68" t="s">
        <v>9</v>
      </c>
      <c r="B21" s="37"/>
      <c r="C21" s="37"/>
      <c r="D21" s="31"/>
      <c r="F21" s="163" t="s">
        <v>10</v>
      </c>
    </row>
    <row r="22" customHeight="1" spans="1:7">
      <c r="B22" s="75"/>
      <c r="C22" s="73"/>
      <c r="D22" s="75"/>
      <c r="E22" s="73"/>
      <c r="F22" s="158" t="str">
        <f>IF(OR(B22="",D22=""),"",IFERROR(VLOOKUP(B22,'SENARAI PLAK'!$A$2:$B$159,2,FALSE)*D22,""))</f>
        <v/>
      </c>
      <c r="G22" s="73"/>
    </row>
    <row r="23" customHeight="1" spans="1:7">
      <c r="B23" s="75"/>
      <c r="C23" s="73"/>
      <c r="D23" s="75"/>
      <c r="E23" s="73"/>
      <c r="F23" s="158" t="str">
        <f>IF(OR(B23="",D23=""),"",IFERROR(VLOOKUP(B23,'SENARAI PLAK'!$A$2:$B$159,2,FALSE)*D23,""))</f>
        <v/>
      </c>
      <c r="G23" s="73"/>
    </row>
    <row r="24" customHeight="1" spans="1:7">
      <c r="B24" s="75"/>
      <c r="C24" s="73"/>
      <c r="D24" s="75"/>
      <c r="E24" s="73"/>
      <c r="F24" s="158" t="str">
        <f>IF(OR(B24="",D24=""),"",IFERROR(VLOOKUP(B24,'SENARAI PLAK'!$A$2:$B$159,2,FALSE)*D24,""))</f>
        <v/>
      </c>
      <c r="G24" s="73"/>
    </row>
    <row r="25" customHeight="1" spans="1:7">
      <c r="B25" s="75"/>
      <c r="C25" s="73"/>
      <c r="D25" s="75"/>
      <c r="E25" s="73"/>
      <c r="F25" s="158" t="str">
        <f>IF(OR(B25="",D25=""),"",IFERROR(VLOOKUP(B25,'SENARAI PLAK'!$A$2:$B$159,2,FALSE)*D25,""))</f>
        <v/>
      </c>
      <c r="G25" s="73"/>
    </row>
    <row r="26" s="68" customFormat="1" customHeight="1" spans="1:7">
      <c r="A26" s="68" t="s">
        <v>9</v>
      </c>
      <c r="B26" s="37"/>
      <c r="C26" s="37"/>
      <c r="D26" s="31"/>
      <c r="F26" s="163" t="s">
        <v>10</v>
      </c>
    </row>
    <row r="27" customHeight="1" spans="1:7">
      <c r="B27" s="75"/>
      <c r="C27" s="73"/>
      <c r="D27" s="75"/>
      <c r="E27" s="73"/>
      <c r="F27" s="158" t="str">
        <f>IF(OR(B27="",D27=""),"",IFERROR(VLOOKUP(B27,'SENARAI PLAK'!$A$2:$B$159,2,FALSE)*D27,""))</f>
        <v/>
      </c>
      <c r="G27" s="73"/>
    </row>
    <row r="28" customHeight="1" spans="1:7">
      <c r="B28" s="75"/>
      <c r="C28" s="73"/>
      <c r="D28" s="75"/>
      <c r="E28" s="73"/>
      <c r="F28" s="158" t="str">
        <f>IF(OR(B28="",D28=""),"",IFERROR(VLOOKUP(B28,'SENARAI PLAK'!$A$2:$B$159,2,FALSE)*D28,""))</f>
        <v/>
      </c>
      <c r="G28" s="73"/>
    </row>
    <row r="29" customHeight="1" spans="1:7">
      <c r="B29" s="75"/>
      <c r="C29" s="73"/>
      <c r="D29" s="75"/>
      <c r="E29" s="73"/>
      <c r="F29" s="158" t="str">
        <f>IF(OR(B29="",D29=""),"",IFERROR(VLOOKUP(B29,'SENARAI PLAK'!$A$2:$B$159,2,FALSE)*D29,""))</f>
        <v/>
      </c>
      <c r="G29" s="73"/>
    </row>
    <row r="30" customHeight="1" spans="1:7">
      <c r="B30" s="75"/>
      <c r="C30" s="73"/>
      <c r="D30" s="75"/>
      <c r="E30" s="73"/>
      <c r="F30" s="158" t="str">
        <f>IF(OR(B30="",D30=""),"",IFERROR(VLOOKUP(B30,'SENARAI PLAK'!$A$2:$B$159,2,FALSE)*D30,""))</f>
        <v/>
      </c>
      <c r="G30" s="73"/>
    </row>
    <row r="31" customHeight="1" spans="1:7">
      <c r="B31" s="31"/>
      <c r="C31" s="31"/>
      <c r="D31" s="31"/>
      <c r="E31" s="31"/>
      <c r="F31" s="164"/>
      <c r="G31" s="164"/>
    </row>
    <row r="32" customHeight="1" spans="1:7">
      <c r="A32" s="37" t="s">
        <v>11</v>
      </c>
    </row>
  </sheetData>
  <mergeCells count="72"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</mergeCells>
  <conditionalFormatting sqref="F7">
    <cfRule type="expression" dxfId="0" priority="100">
      <formula>AND($B7&lt;&gt;"",$F7&lt;&gt;"",IFERROR($F7&lt;&gt;VLOOKUP($B7,'SENARAI PLAK'!$A$2:$B$159,2,FALSE)*$D7,FALSE))</formula>
    </cfRule>
  </conditionalFormatting>
  <conditionalFormatting sqref="F8">
    <cfRule type="expression" dxfId="0" priority="101">
      <formula>AND($B8&lt;&gt;"",$F8&lt;&gt;"",IFERROR($F8&lt;&gt;VLOOKUP($B8,'SENARAI PLAK'!$A$2:$B$159,2,FALSE)*$D8,FALSE))</formula>
    </cfRule>
  </conditionalFormatting>
  <conditionalFormatting sqref="F9">
    <cfRule type="expression" dxfId="0" priority="102">
      <formula>AND($B9&lt;&gt;"",$F9&lt;&gt;"",IFERROR($F9&lt;&gt;VLOOKUP($B9,'SENARAI PLAK'!$A$2:$B$159,2,FALSE)*$D9,FALSE))</formula>
    </cfRule>
  </conditionalFormatting>
  <conditionalFormatting sqref="F10">
    <cfRule type="expression" dxfId="0" priority="103">
      <formula>AND($B10&lt;&gt;"",$F10&lt;&gt;"",IFERROR($F10&lt;&gt;VLOOKUP($B10,'SENARAI PLAK'!$A$2:$B$159,2,FALSE)*$D10,FALSE))</formula>
    </cfRule>
  </conditionalFormatting>
  <conditionalFormatting sqref="F11">
    <cfRule type="expression" dxfId="0" priority="104">
      <formula>AND($B11&lt;&gt;"",$F11&lt;&gt;"",IFERROR($F11&lt;&gt;VLOOKUP($B11,'SENARAI PLAK'!$A$2:$B$159,2,FALSE)*$D11,FALSE))</formula>
    </cfRule>
  </conditionalFormatting>
  <conditionalFormatting sqref="F12">
    <cfRule type="expression" dxfId="0" priority="105">
      <formula>AND($B12&lt;&gt;"",$F12&lt;&gt;"",IFERROR($F12&lt;&gt;VLOOKUP($B12,'SENARAI PLAK'!$A$2:$B$159,2,FALSE)*$D12,FALSE))</formula>
    </cfRule>
  </conditionalFormatting>
  <conditionalFormatting sqref="F13">
    <cfRule type="expression" dxfId="0" priority="106">
      <formula>AND($B13&lt;&gt;"",$F13&lt;&gt;"",IFERROR($F13&lt;&gt;VLOOKUP($B13,'SENARAI PLAK'!$A$2:$B$159,2,FALSE)*$D13,FALSE))</formula>
    </cfRule>
  </conditionalFormatting>
  <conditionalFormatting sqref="F14">
    <cfRule type="expression" dxfId="0" priority="107">
      <formula>AND($B14&lt;&gt;"",$F14&lt;&gt;"",IFERROR($F14&lt;&gt;VLOOKUP($B14,'SENARAI PLAK'!$A$2:$B$159,2,FALSE)*$D14,FALSE))</formula>
    </cfRule>
  </conditionalFormatting>
  <conditionalFormatting sqref="F15">
    <cfRule type="expression" dxfId="0" priority="108">
      <formula>AND($B15&lt;&gt;"",$F15&lt;&gt;"",IFERROR($F15&lt;&gt;VLOOKUP($B15,'SENARAI PLAK'!$A$2:$B$159,2,FALSE)*$D15,FALSE))</formula>
    </cfRule>
  </conditionalFormatting>
  <conditionalFormatting sqref="F17">
    <cfRule type="expression" dxfId="0" priority="109">
      <formula>AND($B17&lt;&gt;"",$F17&lt;&gt;"",IFERROR($F17&lt;&gt;VLOOKUP($B17,'SENARAI PLAK'!$A$2:$B$159,2,FALSE)*$D17,FALSE))</formula>
    </cfRule>
  </conditionalFormatting>
  <conditionalFormatting sqref="F18">
    <cfRule type="expression" dxfId="0" priority="110">
      <formula>AND($B18&lt;&gt;"",$F18&lt;&gt;"",IFERROR($F18&lt;&gt;VLOOKUP($B18,'SENARAI PLAK'!$A$2:$B$159,2,FALSE)*$D18,FALSE))</formula>
    </cfRule>
  </conditionalFormatting>
  <conditionalFormatting sqref="F19">
    <cfRule type="expression" dxfId="0" priority="111">
      <formula>AND($B19&lt;&gt;"",$F19&lt;&gt;"",IFERROR($F19&lt;&gt;VLOOKUP($B19,'SENARAI PLAK'!$A$2:$B$159,2,FALSE)*$D19,FALSE))</formula>
    </cfRule>
  </conditionalFormatting>
  <conditionalFormatting sqref="F20">
    <cfRule type="expression" dxfId="0" priority="112">
      <formula>AND($B20&lt;&gt;"",$F20&lt;&gt;"",IFERROR($F20&lt;&gt;VLOOKUP($B20,'SENARAI PLAK'!$A$2:$B$159,2,FALSE)*$D20,FALSE))</formula>
    </cfRule>
  </conditionalFormatting>
  <conditionalFormatting sqref="F22">
    <cfRule type="expression" dxfId="0" priority="113">
      <formula>AND($B22&lt;&gt;"",$F22&lt;&gt;"",IFERROR($F22&lt;&gt;VLOOKUP($B22,'SENARAI PLAK'!$A$2:$B$159,2,FALSE)*$D22,FALSE))</formula>
    </cfRule>
  </conditionalFormatting>
  <conditionalFormatting sqref="F23">
    <cfRule type="expression" dxfId="0" priority="114">
      <formula>AND($B23&lt;&gt;"",$F23&lt;&gt;"",IFERROR($F23&lt;&gt;VLOOKUP($B23,'SENARAI PLAK'!$A$2:$B$159,2,FALSE)*$D23,FALSE))</formula>
    </cfRule>
  </conditionalFormatting>
  <conditionalFormatting sqref="F24">
    <cfRule type="expression" dxfId="0" priority="115">
      <formula>AND($B24&lt;&gt;"",$F24&lt;&gt;"",IFERROR($F24&lt;&gt;VLOOKUP($B24,'SENARAI PLAK'!$A$2:$B$159,2,FALSE)*$D24,FALSE))</formula>
    </cfRule>
  </conditionalFormatting>
  <conditionalFormatting sqref="F25">
    <cfRule type="expression" dxfId="0" priority="116">
      <formula>AND($B25&lt;&gt;"",$F25&lt;&gt;"",IFERROR($F25&lt;&gt;VLOOKUP($B25,'SENARAI PLAK'!$A$2:$B$159,2,FALSE)*$D25,FALSE))</formula>
    </cfRule>
  </conditionalFormatting>
  <conditionalFormatting sqref="F27">
    <cfRule type="expression" dxfId="0" priority="117">
      <formula>AND($B27&lt;&gt;"",$F27&lt;&gt;"",IFERROR($F27&lt;&gt;VLOOKUP($B27,'SENARAI PLAK'!$A$2:$B$159,2,FALSE)*$D27,FALSE))</formula>
    </cfRule>
  </conditionalFormatting>
  <conditionalFormatting sqref="F28">
    <cfRule type="expression" dxfId="0" priority="118">
      <formula>AND($B28&lt;&gt;"",$F28&lt;&gt;"",IFERROR($F28&lt;&gt;VLOOKUP($B28,'SENARAI PLAK'!$A$2:$B$159,2,FALSE)*$D28,FALSE))</formula>
    </cfRule>
  </conditionalFormatting>
  <conditionalFormatting sqref="F29">
    <cfRule type="expression" dxfId="0" priority="119">
      <formula>AND($B29&lt;&gt;"",$F29&lt;&gt;"",IFERROR($F29&lt;&gt;VLOOKUP($B29,'SENARAI PLAK'!$A$2:$B$159,2,FALSE)*$D29,FALSE))</formula>
    </cfRule>
  </conditionalFormatting>
  <conditionalFormatting sqref="F30">
    <cfRule type="expression" dxfId="0" priority="120">
      <formula>AND($B30&lt;&gt;"",$F30&lt;&gt;"",IFERROR($F30&lt;&gt;VLOOKUP($B30,'SENARAI PLAK'!$A$2:$B$159,2,FALSE)*$D30,FALSE))</formula>
    </cfRule>
  </conditionalFormatting>
  <dataValidations count="1">
    <dataValidation type="list" allowBlank="1" showErrorMessage="1" errorTitle="JENIS PLAK" error="Pilih Jenis Plak dari senarai." sqref="B7:B15 B17:B20 B22:B25 B27:B30">
      <formula1>'SENARAI PLAK'!$A$2:$A$159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9" sqref="F9"/>
    </sheetView>
  </sheetViews>
  <sheetFormatPr defaultColWidth="9" defaultRowHeight="16.8" outlineLevelCol="5"/>
  <cols>
    <col min="1" max="1" width="59.2421875" customWidth="1"/>
    <col min="2" max="2" width="21.7421875" customWidth="1"/>
    <col min="3" max="3" width="15.234375" customWidth="1"/>
    <col min="4" max="4" width="15.4921875" customWidth="1"/>
    <col min="5" max="5" width="14.9765625" customWidth="1"/>
    <col min="6" max="6" width="12.109375" customWidth="1"/>
  </cols>
  <sheetData>
    <row r="1" ht="40" customHeight="1"/>
    <row r="3" ht="26" customHeight="1" spans="1:6">
      <c r="A3" s="159" t="s">
        <v>12</v>
      </c>
    </row>
    <row r="4" spans="1:6">
      <c r="A4" s="160" t="s">
        <v>13</v>
      </c>
      <c r="B4" s="160" t="s">
        <v>14</v>
      </c>
      <c r="C4" s="160" t="s">
        <v>15</v>
      </c>
      <c r="E4" s="161" t="s">
        <v>16</v>
      </c>
      <c r="F4" s="73"/>
    </row>
    <row r="5" spans="1:6">
      <c r="A5" s="69"/>
      <c r="B5" s="69"/>
      <c r="C5" s="69"/>
      <c r="E5" s="161" t="s">
        <v>17</v>
      </c>
      <c r="F5" s="165" t="s">
        <v>18</v>
      </c>
    </row>
    <row r="6" spans="1:6">
      <c r="A6" s="69"/>
      <c r="B6" s="69"/>
      <c r="C6" s="69"/>
      <c r="E6" s="161" t="s">
        <v>19</v>
      </c>
      <c r="F6" s="165" t="s">
        <v>20</v>
      </c>
    </row>
    <row r="7" spans="1:6">
      <c r="A7" s="69"/>
      <c r="B7" s="69"/>
      <c r="C7" s="69"/>
      <c r="E7" s="161" t="s">
        <v>21</v>
      </c>
      <c r="F7" s="165" t="s">
        <v>22</v>
      </c>
    </row>
    <row r="8" spans="1:6">
      <c r="A8" s="69"/>
      <c r="B8" s="69"/>
      <c r="C8" s="69"/>
      <c r="E8" s="161" t="s">
        <v>23</v>
      </c>
      <c r="F8" s="165" t="s">
        <v>24</v>
      </c>
    </row>
    <row r="9" spans="1:6">
      <c r="A9" s="69"/>
      <c r="B9" s="69"/>
      <c r="C9" s="69"/>
    </row>
    <row r="10" spans="1:6">
      <c r="A10" s="69"/>
      <c r="B10" s="69"/>
      <c r="C10" s="69"/>
    </row>
    <row r="11" spans="1:6">
      <c r="A11" s="69"/>
      <c r="B11" s="69"/>
      <c r="C11" s="69"/>
    </row>
  </sheetData>
  <mergeCells count="2">
    <mergeCell ref="A3:C3"/>
    <mergeCell ref="E4:F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zoomScale="74" zoomScaleNormal="74" topLeftCell="C1" workbookViewId="0">
      <selection activeCell="B22" sqref="B22"/>
    </sheetView>
  </sheetViews>
  <sheetFormatPr defaultColWidth="9.140625" defaultRowHeight="21.95" customHeight="1"/>
  <cols>
    <col min="1" max="1" width="38.2890625" style="37" customWidth="1"/>
    <col min="2" max="2" width="17.4296875" style="37" customWidth="1"/>
    <col min="3" max="3" width="23.140625" style="37" customWidth="1"/>
    <col min="4" max="4" width="28.140625" style="37" customWidth="1"/>
    <col min="5" max="5" width="9.140625" style="37" customWidth="1"/>
    <col min="6" max="6" width="11.859375" style="37" customWidth="1"/>
    <col min="7" max="7" width="9.140625" style="37" customWidth="1"/>
    <col min="8" max="8" width="11.5703125" style="37" customWidth="1"/>
    <col min="9" max="9" width="24.6328125" style="37" customWidth="1"/>
    <col min="10" max="10" width="9.140625" style="37" customWidth="1"/>
    <col min="11" max="11" width="11.859375" style="37" customWidth="1"/>
    <col min="12" max="12" width="9.140625" style="37" customWidth="1"/>
    <col min="13" max="13" width="11.5703125" style="37" customWidth="1"/>
    <col min="14" max="15" width="9.140625" style="37" customWidth="1"/>
    <col min="16" max="16" width="11.859375" style="37" customWidth="1"/>
    <col min="17" max="17" width="9.140625" style="37" customWidth="1"/>
    <col min="18" max="18" width="11.5703125" style="37" customWidth="1"/>
    <col min="19" max="16384" width="9.140625" style="37" customWidth="1"/>
  </cols>
  <sheetData>
    <row r="1" ht="27" customHeight="1" spans="1:19">
      <c r="C1" s="32" t="s">
        <v>12</v>
      </c>
      <c r="F1" s="121"/>
    </row>
    <row r="2" ht="36" customHeight="1" spans="1:19">
      <c r="A2" s="33"/>
      <c r="B2" s="33"/>
      <c r="C2" s="38"/>
      <c r="D2" s="51"/>
      <c r="F2" s="36"/>
    </row>
    <row r="3" ht="36" customHeight="1" spans="1:19">
      <c r="C3" s="38"/>
      <c r="D3" s="51"/>
      <c r="F3" s="31"/>
      <c r="G3" s="31"/>
      <c r="H3" s="31"/>
      <c r="I3" s="31"/>
    </row>
    <row r="4" ht="42" customHeight="1" spans="1:19">
      <c r="C4" s="38"/>
      <c r="D4" s="51"/>
      <c r="F4" s="31"/>
      <c r="G4" s="31"/>
      <c r="H4" s="31"/>
      <c r="I4" s="31"/>
    </row>
    <row r="5" ht="39" customHeight="1" spans="1:19">
      <c r="C5" s="38"/>
      <c r="D5" s="51"/>
      <c r="F5" s="31"/>
      <c r="G5" s="31"/>
      <c r="H5" s="31"/>
      <c r="I5" s="31"/>
    </row>
    <row r="6" s="31" customFormat="1" ht="17.6" spans="1:19">
      <c r="A6" s="37"/>
      <c r="B6" s="37"/>
      <c r="C6" s="37"/>
      <c r="D6" s="37"/>
      <c r="E6" s="37"/>
    </row>
    <row r="7" s="31" customFormat="1" ht="24" customHeight="1"/>
    <row r="8" ht="17.6" spans="1:19">
      <c r="E8" s="31"/>
    </row>
    <row r="9" ht="26" spans="1:19">
      <c r="A9" s="32" t="s">
        <v>25</v>
      </c>
    </row>
    <row r="10" ht="17.6" spans="1:19">
      <c r="A10" s="42" t="s">
        <v>26</v>
      </c>
      <c r="B10" s="155" t="s">
        <v>15</v>
      </c>
      <c r="C10" s="110"/>
      <c r="D10" s="111"/>
      <c r="F10" s="75" t="s">
        <v>27</v>
      </c>
      <c r="G10" s="108"/>
      <c r="H10" s="108"/>
      <c r="I10" s="73"/>
      <c r="J10" s="31"/>
      <c r="K10" s="75" t="s">
        <v>28</v>
      </c>
      <c r="L10" s="108"/>
      <c r="M10" s="108"/>
      <c r="N10" s="73"/>
      <c r="O10" s="31"/>
      <c r="P10" s="75" t="s">
        <v>29</v>
      </c>
      <c r="Q10" s="108"/>
      <c r="R10" s="108"/>
      <c r="S10" s="73"/>
    </row>
    <row r="11" ht="18" spans="1:19">
      <c r="A11" s="122"/>
      <c r="B11" s="104" t="s">
        <v>27</v>
      </c>
      <c r="C11" s="104" t="s">
        <v>28</v>
      </c>
      <c r="D11" s="156" t="s">
        <v>29</v>
      </c>
      <c r="F11" s="75" t="s">
        <v>30</v>
      </c>
      <c r="G11" s="75" t="s">
        <v>7</v>
      </c>
      <c r="H11" s="75" t="s">
        <v>31</v>
      </c>
      <c r="I11" s="75" t="s">
        <v>7</v>
      </c>
      <c r="J11" s="31"/>
      <c r="K11" s="75" t="s">
        <v>30</v>
      </c>
      <c r="L11" s="75" t="s">
        <v>7</v>
      </c>
      <c r="M11" s="75" t="s">
        <v>31</v>
      </c>
      <c r="N11" s="75" t="s">
        <v>7</v>
      </c>
      <c r="O11" s="31"/>
      <c r="P11" s="75" t="s">
        <v>30</v>
      </c>
      <c r="Q11" s="75" t="s">
        <v>7</v>
      </c>
      <c r="R11" s="75" t="s">
        <v>31</v>
      </c>
      <c r="S11" s="75" t="s">
        <v>7</v>
      </c>
    </row>
    <row r="12" ht="17.6" spans="1:19">
      <c r="A12" s="123" t="s">
        <v>32</v>
      </c>
      <c r="B12" s="75">
        <f>SUM(G12:G23)</f>
        <v>0</v>
      </c>
      <c r="C12" s="75">
        <f>SUM(L12:L23)</f>
        <v>0</v>
      </c>
      <c r="D12" s="75">
        <f>SUM(Q12:Q23)</f>
        <v>0</v>
      </c>
      <c r="F12" s="64"/>
      <c r="G12" s="64"/>
      <c r="H12" s="64"/>
      <c r="I12" s="64"/>
      <c r="J12" s="31"/>
      <c r="K12" s="64"/>
      <c r="L12" s="64"/>
      <c r="M12" s="64"/>
      <c r="N12" s="64"/>
      <c r="O12" s="31"/>
      <c r="P12" s="64"/>
      <c r="Q12" s="64"/>
      <c r="R12" s="64"/>
      <c r="S12" s="64"/>
    </row>
    <row r="13" ht="17.6" spans="1:19">
      <c r="A13" s="124" t="s">
        <v>33</v>
      </c>
      <c r="B13" s="75">
        <f>SUM(G12:G23)</f>
        <v>0</v>
      </c>
      <c r="C13" s="75">
        <f>SUM(L12:L23)</f>
        <v>0</v>
      </c>
      <c r="D13" s="75">
        <f>SUM(Q12:Q23)</f>
        <v>0</v>
      </c>
      <c r="F13" s="64"/>
      <c r="G13" s="64"/>
      <c r="H13" s="64"/>
      <c r="I13" s="64"/>
      <c r="J13" s="31"/>
      <c r="K13" s="64"/>
      <c r="L13" s="64"/>
      <c r="M13" s="64"/>
      <c r="N13" s="64"/>
      <c r="O13" s="31"/>
      <c r="P13" s="64"/>
      <c r="Q13" s="64"/>
      <c r="R13" s="64"/>
      <c r="S13" s="64"/>
    </row>
    <row r="14" ht="17.6" spans="1:19">
      <c r="A14" s="125" t="s">
        <v>34</v>
      </c>
      <c r="B14" s="75">
        <f>SUM(G12:G23)</f>
        <v>0</v>
      </c>
      <c r="C14" s="75">
        <f>SUM(L12:L23)</f>
        <v>0</v>
      </c>
      <c r="D14" s="75">
        <f>SUM(Q12:Q23)</f>
        <v>0</v>
      </c>
      <c r="F14" s="64"/>
      <c r="G14" s="64"/>
      <c r="H14" s="64"/>
      <c r="I14" s="64"/>
      <c r="J14" s="31"/>
      <c r="K14" s="64"/>
      <c r="L14" s="64"/>
      <c r="M14" s="64"/>
      <c r="N14" s="64"/>
      <c r="O14" s="31"/>
      <c r="P14" s="64"/>
      <c r="Q14" s="64"/>
      <c r="R14" s="64"/>
      <c r="S14" s="64"/>
    </row>
    <row r="15" ht="17.6" spans="1:19">
      <c r="A15" s="125" t="s">
        <v>35</v>
      </c>
      <c r="B15" s="75">
        <f>SUM(G12:G23)</f>
        <v>0</v>
      </c>
      <c r="C15" s="75">
        <f>SUM(L12:L23)</f>
        <v>0</v>
      </c>
      <c r="D15" s="75">
        <f>SUM(Q12:Q23)</f>
        <v>0</v>
      </c>
      <c r="F15" s="64"/>
      <c r="G15" s="64"/>
      <c r="H15" s="64"/>
      <c r="I15" s="64"/>
      <c r="J15" s="31"/>
      <c r="K15" s="64"/>
      <c r="L15" s="64"/>
      <c r="M15" s="64"/>
      <c r="N15" s="64"/>
      <c r="O15" s="31"/>
      <c r="P15" s="64"/>
      <c r="Q15" s="64"/>
      <c r="R15" s="64"/>
      <c r="S15" s="64"/>
    </row>
    <row r="16" ht="17.6" spans="1:19">
      <c r="A16" s="126" t="s">
        <v>36</v>
      </c>
      <c r="B16" s="75">
        <f>SUM(G12:G23)</f>
        <v>0</v>
      </c>
      <c r="C16" s="75">
        <f>SUM(L12:L23)</f>
        <v>0</v>
      </c>
      <c r="D16" s="75">
        <f>SUM(Q12:Q23)</f>
        <v>0</v>
      </c>
      <c r="F16" s="64"/>
      <c r="G16" s="64"/>
      <c r="H16" s="64"/>
      <c r="I16" s="64"/>
      <c r="J16" s="31"/>
      <c r="K16" s="64"/>
      <c r="L16" s="64"/>
      <c r="M16" s="64"/>
      <c r="N16" s="64"/>
      <c r="O16" s="31"/>
      <c r="P16" s="64"/>
      <c r="Q16" s="64"/>
      <c r="R16" s="64"/>
      <c r="S16" s="64"/>
    </row>
    <row r="17" ht="17.6" spans="1:19">
      <c r="A17" s="126" t="s">
        <v>37</v>
      </c>
      <c r="B17" s="75">
        <f>SUM(G12:G23)</f>
        <v>0</v>
      </c>
      <c r="C17" s="75">
        <f>SUM(L12:L23)</f>
        <v>0</v>
      </c>
      <c r="D17" s="75">
        <f>SUM(Q12:Q23)</f>
        <v>0</v>
      </c>
      <c r="F17" s="64"/>
      <c r="G17" s="64"/>
      <c r="H17" s="64"/>
      <c r="I17" s="64"/>
      <c r="J17" s="31"/>
      <c r="K17" s="64"/>
      <c r="L17" s="64"/>
      <c r="M17" s="64"/>
      <c r="N17" s="64"/>
      <c r="O17" s="31"/>
      <c r="P17" s="64"/>
      <c r="Q17" s="64"/>
      <c r="R17" s="64"/>
      <c r="S17" s="64"/>
    </row>
    <row r="18" ht="17.6" spans="1:19">
      <c r="A18" s="126" t="s">
        <v>38</v>
      </c>
      <c r="B18" s="75">
        <f>SUM(G12:G23)</f>
        <v>0</v>
      </c>
      <c r="C18" s="75">
        <f>SUM(L12:L23)</f>
        <v>0</v>
      </c>
      <c r="D18" s="75">
        <f>SUM(Q12:Q23)</f>
        <v>0</v>
      </c>
      <c r="F18" s="64"/>
      <c r="G18" s="64"/>
      <c r="H18" s="64"/>
      <c r="I18" s="64"/>
      <c r="J18" s="31"/>
      <c r="K18" s="64"/>
      <c r="L18" s="64"/>
      <c r="M18" s="64"/>
      <c r="N18" s="64"/>
      <c r="O18" s="31"/>
      <c r="P18" s="64"/>
      <c r="Q18" s="64"/>
      <c r="R18" s="64"/>
      <c r="S18" s="64"/>
    </row>
    <row r="19" ht="17.6" spans="1:19">
      <c r="A19" s="126" t="s">
        <v>39</v>
      </c>
      <c r="B19" s="75">
        <f>SUM(G12:G23)</f>
        <v>0</v>
      </c>
      <c r="C19" s="75">
        <f>SUM(L12:L23)</f>
        <v>0</v>
      </c>
      <c r="D19" s="75">
        <f>SUM(Q12:Q23)</f>
        <v>0</v>
      </c>
      <c r="F19" s="64"/>
      <c r="G19" s="64"/>
      <c r="H19" s="64"/>
      <c r="I19" s="64"/>
      <c r="J19" s="31"/>
      <c r="K19" s="64"/>
      <c r="L19" s="64"/>
      <c r="M19" s="64"/>
      <c r="N19" s="64"/>
      <c r="O19" s="31"/>
      <c r="P19" s="64"/>
      <c r="Q19" s="64"/>
      <c r="R19" s="64"/>
      <c r="S19" s="64"/>
    </row>
    <row r="20" ht="17.6" spans="1:19">
      <c r="A20" s="126" t="s">
        <v>40</v>
      </c>
      <c r="B20" s="75">
        <f>SUM(G12:G23)</f>
        <v>0</v>
      </c>
      <c r="C20" s="75">
        <f>SUM(L12:L23)</f>
        <v>0</v>
      </c>
      <c r="D20" s="75">
        <f>SUM(Q12:Q23)</f>
        <v>0</v>
      </c>
      <c r="F20" s="64"/>
      <c r="G20" s="64"/>
      <c r="H20" s="64"/>
      <c r="I20" s="64"/>
      <c r="J20" s="31"/>
      <c r="K20" s="64"/>
      <c r="L20" s="64"/>
      <c r="M20" s="64"/>
      <c r="N20" s="64"/>
      <c r="O20" s="31"/>
      <c r="P20" s="64"/>
      <c r="Q20" s="64"/>
      <c r="R20" s="64"/>
      <c r="S20" s="64"/>
    </row>
    <row r="21" ht="17.6" spans="1:19">
      <c r="A21" s="126" t="s">
        <v>41</v>
      </c>
      <c r="B21" s="75">
        <f>SUM(G12:G23)</f>
        <v>0</v>
      </c>
      <c r="C21" s="75">
        <f>SUM(L12:L23)</f>
        <v>0</v>
      </c>
      <c r="D21" s="75">
        <f>SUM(Q12:Q23)</f>
        <v>0</v>
      </c>
      <c r="F21" s="64"/>
      <c r="G21" s="64"/>
      <c r="H21" s="64"/>
      <c r="I21" s="64"/>
      <c r="J21" s="31"/>
      <c r="K21" s="64"/>
      <c r="L21" s="64"/>
      <c r="M21" s="64"/>
      <c r="N21" s="64"/>
      <c r="O21" s="31"/>
      <c r="P21" s="64"/>
      <c r="Q21" s="64"/>
      <c r="R21" s="64"/>
      <c r="S21" s="64"/>
    </row>
    <row r="22" ht="17.6" spans="1:19">
      <c r="A22" s="126" t="s">
        <v>42</v>
      </c>
      <c r="B22" s="75">
        <f>SUM(I12:I23)</f>
        <v>0</v>
      </c>
      <c r="C22" s="75">
        <f>SUM(N12:N23)</f>
        <v>0</v>
      </c>
      <c r="D22" s="75">
        <f>SUM(S12:S23)</f>
        <v>0</v>
      </c>
      <c r="F22" s="64"/>
      <c r="G22" s="64"/>
      <c r="H22" s="64"/>
      <c r="I22" s="64"/>
      <c r="J22" s="31"/>
      <c r="K22" s="64"/>
      <c r="L22" s="64"/>
      <c r="M22" s="64"/>
      <c r="N22" s="64"/>
      <c r="O22" s="31"/>
      <c r="P22" s="64"/>
      <c r="Q22" s="64"/>
      <c r="R22" s="64"/>
      <c r="S22" s="64"/>
    </row>
    <row r="23" ht="17.6" spans="1:19">
      <c r="A23" s="125" t="s">
        <v>43</v>
      </c>
      <c r="B23" s="75">
        <f>SUM(G12:G23)</f>
        <v>0</v>
      </c>
      <c r="C23" s="75">
        <f>SUM(L12:L23)</f>
        <v>0</v>
      </c>
      <c r="D23" s="75">
        <f>SUM(Q12:Q23)</f>
        <v>0</v>
      </c>
      <c r="F23" s="64"/>
      <c r="G23" s="64"/>
      <c r="H23" s="64"/>
      <c r="I23" s="64"/>
      <c r="J23" s="31"/>
      <c r="K23" s="64"/>
      <c r="L23" s="64"/>
      <c r="M23" s="64"/>
      <c r="N23" s="64"/>
      <c r="O23" s="31"/>
      <c r="P23" s="64"/>
      <c r="Q23" s="64"/>
      <c r="R23" s="64"/>
      <c r="S23" s="64"/>
    </row>
    <row r="24" ht="17.6" spans="1:19">
      <c r="A24" s="127" t="s">
        <v>44</v>
      </c>
      <c r="B24" s="75">
        <f>SUM(G12:G23)</f>
        <v>0</v>
      </c>
      <c r="C24" s="75">
        <f>SUM(L12:L23)</f>
        <v>0</v>
      </c>
      <c r="D24" s="75">
        <f>SUM(Q12:Q23)</f>
        <v>0</v>
      </c>
    </row>
    <row r="25" ht="17.6" spans="1:19">
      <c r="A25" s="128"/>
      <c r="B25" s="75">
        <f>SUM(G12:G23)</f>
        <v>0</v>
      </c>
      <c r="C25" s="75">
        <f>SUM(L12:L23)</f>
        <v>0</v>
      </c>
      <c r="D25" s="75">
        <f>SUM(Q12:Q23)</f>
        <v>0</v>
      </c>
    </row>
    <row r="26" ht="17.6" spans="1:19">
      <c r="A26" s="129"/>
      <c r="B26" s="75">
        <f>SUM(G12:G23)</f>
        <v>0</v>
      </c>
      <c r="C26" s="75">
        <f>SUM(L12:L23)</f>
        <v>0</v>
      </c>
      <c r="D26" s="75">
        <f>SUM(L12:L23)</f>
        <v>0</v>
      </c>
    </row>
    <row r="27" ht="17.6" spans="1:19">
      <c r="A27" s="129"/>
      <c r="B27" s="75">
        <f>SUM(G12:G23)</f>
        <v>0</v>
      </c>
      <c r="C27" s="75">
        <f>SUM(L12:L23)</f>
        <v>0</v>
      </c>
      <c r="D27" s="75">
        <f>SUM(L12:L23)</f>
        <v>0</v>
      </c>
    </row>
    <row r="28" ht="17.6" spans="1:19">
      <c r="A28" s="129"/>
      <c r="B28" s="75">
        <f>SUM(G12:G23)</f>
        <v>0</v>
      </c>
      <c r="C28" s="75">
        <f>SUM(L12:L23)</f>
        <v>0</v>
      </c>
      <c r="D28" s="75">
        <f>SUM(L12:L23)</f>
        <v>0</v>
      </c>
    </row>
    <row r="29" ht="17.6" spans="1:19">
      <c r="A29" s="129"/>
      <c r="B29" s="75">
        <f>SUM(G12:G23)</f>
        <v>0</v>
      </c>
      <c r="C29" s="75">
        <f>SUM(L12:L23)</f>
        <v>0</v>
      </c>
      <c r="D29" s="75">
        <f>SUM(L12:L23)</f>
        <v>0</v>
      </c>
    </row>
    <row r="30" ht="18.35" spans="1:19">
      <c r="A30" s="153"/>
      <c r="B30" s="75">
        <f>SUM(G12:G23)</f>
        <v>0</v>
      </c>
      <c r="C30" s="75">
        <f>SUM(L12:L23)</f>
        <v>0</v>
      </c>
      <c r="D30" s="75">
        <f>SUM(L12:L23)</f>
        <v>0</v>
      </c>
    </row>
    <row r="31" ht="21.15" spans="1:19">
      <c r="A31" s="154" t="s">
        <v>45</v>
      </c>
      <c r="B31" s="157">
        <f>SUM(B12:B30)</f>
        <v>0</v>
      </c>
      <c r="C31" s="132">
        <f>SUM(C12:C30)</f>
        <v>0</v>
      </c>
      <c r="D31" s="132">
        <f>SUM(D12:D30)</f>
        <v>0</v>
      </c>
    </row>
    <row r="33" ht="17.6" spans="1:4">
      <c r="B33" s="86" t="s">
        <v>6</v>
      </c>
      <c r="C33" s="86" t="s">
        <v>7</v>
      </c>
      <c r="D33" s="86" t="s">
        <v>8</v>
      </c>
    </row>
    <row r="34" ht="17.6" spans="1:4">
      <c r="A34" s="134"/>
      <c r="B34" s="34"/>
      <c r="C34" s="93">
        <f>SUM(B31:D31)</f>
        <v>0</v>
      </c>
      <c r="D34" s="64" t="str">
        <f>IF(OR(B34="",C34=""),"",IFERROR(VLOOKUP(B34,'SENARAI PLAK'!$A$2:$B$159,2,FALSE)*C34,""))</f>
        <v/>
      </c>
    </row>
    <row r="35" ht="17.6" spans="1:4">
      <c r="B35" s="158"/>
      <c r="C35" s="75"/>
      <c r="D35" s="75"/>
    </row>
  </sheetData>
  <mergeCells count="12">
    <mergeCell ref="C1:D1"/>
    <mergeCell ref="C2:D2"/>
    <mergeCell ref="F2:J2"/>
    <mergeCell ref="C3:D3"/>
    <mergeCell ref="C4:D4"/>
    <mergeCell ref="C5:D5"/>
    <mergeCell ref="A9:D9"/>
    <mergeCell ref="B10:D10"/>
    <mergeCell ref="F10:I10"/>
    <mergeCell ref="K10:N10"/>
    <mergeCell ref="P10:S10"/>
    <mergeCell ref="A10:A11"/>
  </mergeCells>
  <conditionalFormatting sqref="D34">
    <cfRule type="expression" dxfId="0" priority="100">
      <formula>AND($B34&lt;&gt;"",$D34&lt;&gt;"",IFERROR($D34&lt;&gt;VLOOKUP($B34,'SENARAI PLAK'!$A$2:$B$159,2,FALSE)*$C34,FALSE))</formula>
    </cfRule>
  </conditionalFormatting>
  <conditionalFormatting sqref="B12:D31">
    <cfRule type="expression" priority="1">
      <formula>_xlfn.ISFORMULA(B12)</formula>
    </cfRule>
    <cfRule type="expression" dxfId="1" priority="2">
      <formula>_xlfn.ISFORMULA(B12)</formula>
    </cfRule>
    <cfRule type="expression" dxfId="2" priority="3">
      <formula>_xlfn.ISFORMULA(B12)</formula>
    </cfRule>
  </conditionalFormatting>
  <dataValidations count="1">
    <dataValidation type="list" allowBlank="1" showErrorMessage="1" errorTitle="JENIS PLAK" error="Pilih Jenis Plak dari senarai." sqref="B34">
      <formula1>'SENARAI PLAK'!$A$2:$A$159</formula1>
    </dataValidation>
  </dataValidations>
  <pageMargins left="0.393055555555556" right="0.196527777777778" top="0.409722222222222" bottom="0.429861111111111" header="0.511805555555556" footer="0.511805555555556"/>
  <pageSetup paperSize="9" scale="95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zoomScale="117" zoomScaleNormal="117" workbookViewId="0">
      <selection activeCell="I21" sqref="E21:I24"/>
    </sheetView>
  </sheetViews>
  <sheetFormatPr defaultColWidth="9.140625" defaultRowHeight="24.75" customHeight="1"/>
  <cols>
    <col min="1" max="1" width="51.7109375" style="37" customWidth="1"/>
    <col min="2" max="4" width="13.859375" style="37" customWidth="1"/>
    <col min="5" max="9" width="9.140625" style="37" customWidth="1"/>
    <col min="10" max="10" width="33.15625" style="37" customWidth="1"/>
    <col min="11" max="16384" width="9.140625" style="37" customWidth="1"/>
  </cols>
  <sheetData>
    <row r="1" ht="26" spans="1:6">
      <c r="B1" s="120" t="s">
        <v>12</v>
      </c>
    </row>
    <row r="2" ht="38" customHeight="1" spans="1:6">
      <c r="A2" s="33"/>
      <c r="B2" s="34"/>
      <c r="C2" s="50"/>
      <c r="D2" s="51"/>
      <c r="F2" s="36"/>
    </row>
    <row r="3" ht="17.6" spans="1:6">
      <c r="B3" s="38"/>
      <c r="C3" s="50"/>
      <c r="D3" s="51"/>
    </row>
    <row r="4" ht="17.6" spans="1:6">
      <c r="B4" s="38"/>
      <c r="C4" s="50"/>
      <c r="D4" s="51"/>
    </row>
    <row r="5" ht="16.8" spans="1:6">
      <c r="B5" s="34"/>
      <c r="C5" s="50"/>
      <c r="D5" s="51"/>
    </row>
    <row r="6" s="31" customFormat="1" ht="17.6" spans="1:6">
      <c r="A6" s="37"/>
      <c r="B6" s="37"/>
      <c r="C6" s="37"/>
      <c r="D6" s="37"/>
      <c r="E6" s="37"/>
    </row>
    <row r="7" s="31" customFormat="1" ht="17.6" spans="1:6">
      <c r="A7" s="42" t="s">
        <v>26</v>
      </c>
      <c r="B7" s="74"/>
      <c r="C7" s="97"/>
      <c r="D7" s="98"/>
    </row>
    <row r="8" ht="17.6" spans="1:6">
      <c r="A8" s="122"/>
      <c r="B8" s="74" t="s">
        <v>46</v>
      </c>
      <c r="C8" s="42" t="s">
        <v>47</v>
      </c>
      <c r="D8" s="42" t="s">
        <v>48</v>
      </c>
      <c r="E8" s="31"/>
    </row>
    <row r="9" ht="17.6" spans="1:6">
      <c r="A9" s="123" t="s">
        <v>32</v>
      </c>
      <c r="B9" s="44"/>
      <c r="C9" s="44"/>
      <c r="D9" s="44"/>
    </row>
    <row r="10" ht="17.6" spans="1:6">
      <c r="A10" s="124" t="s">
        <v>33</v>
      </c>
      <c r="B10" s="44"/>
      <c r="C10" s="44"/>
      <c r="D10" s="44"/>
    </row>
    <row r="11" ht="17.6" spans="1:6">
      <c r="A11" s="125" t="s">
        <v>34</v>
      </c>
      <c r="B11" s="44"/>
      <c r="C11" s="44"/>
      <c r="D11" s="44"/>
    </row>
    <row r="12" ht="17.6" spans="1:6">
      <c r="A12" s="125" t="s">
        <v>35</v>
      </c>
      <c r="B12" s="44"/>
      <c r="C12" s="44"/>
      <c r="D12" s="44"/>
    </row>
    <row r="13" ht="17.6" spans="1:6">
      <c r="A13" s="126" t="s">
        <v>36</v>
      </c>
      <c r="B13" s="44"/>
      <c r="C13" s="44"/>
      <c r="D13" s="44"/>
    </row>
    <row r="14" ht="17.6" spans="1:6">
      <c r="A14" s="126" t="s">
        <v>37</v>
      </c>
      <c r="B14" s="44"/>
      <c r="C14" s="44"/>
      <c r="D14" s="44"/>
    </row>
    <row r="15" ht="17.6" spans="1:6">
      <c r="A15" s="126" t="s">
        <v>38</v>
      </c>
      <c r="B15" s="44"/>
      <c r="C15" s="44"/>
      <c r="D15" s="44"/>
    </row>
    <row r="16" ht="17.6" spans="1:6">
      <c r="A16" s="126" t="s">
        <v>39</v>
      </c>
      <c r="B16" s="44"/>
      <c r="C16" s="44"/>
      <c r="D16" s="44"/>
    </row>
    <row r="17" ht="17.6" spans="1:4">
      <c r="A17" s="126" t="s">
        <v>40</v>
      </c>
      <c r="B17" s="44"/>
      <c r="C17" s="44"/>
      <c r="D17" s="44"/>
    </row>
    <row r="18" ht="17.6" spans="1:4">
      <c r="A18" s="126" t="s">
        <v>41</v>
      </c>
      <c r="B18" s="44"/>
      <c r="C18" s="44"/>
      <c r="D18" s="44"/>
    </row>
    <row r="19" ht="17.6" spans="1:4">
      <c r="A19" s="126" t="s">
        <v>42</v>
      </c>
      <c r="B19" s="44"/>
      <c r="C19" s="44"/>
      <c r="D19" s="44"/>
    </row>
    <row r="20" ht="17.6" spans="1:4">
      <c r="A20" s="125" t="s">
        <v>43</v>
      </c>
      <c r="B20" s="44"/>
      <c r="C20" s="44"/>
      <c r="D20" s="44"/>
    </row>
    <row r="21" ht="17.6" spans="1:4">
      <c r="A21" s="127" t="s">
        <v>44</v>
      </c>
      <c r="B21" s="44"/>
      <c r="C21" s="44"/>
      <c r="D21" s="44"/>
    </row>
    <row r="22" ht="17.6" spans="1:4">
      <c r="A22" s="128" t="s">
        <v>49</v>
      </c>
      <c r="B22" s="44"/>
      <c r="C22" s="44"/>
      <c r="D22" s="44"/>
    </row>
    <row r="23" ht="17.6" spans="1:4">
      <c r="A23" s="129"/>
      <c r="B23" s="44"/>
      <c r="C23" s="44"/>
      <c r="D23" s="44"/>
    </row>
    <row r="24" ht="17.6" spans="1:4">
      <c r="A24" s="130"/>
      <c r="B24" s="143"/>
      <c r="C24" s="143"/>
      <c r="D24" s="143"/>
    </row>
    <row r="25" ht="17.6" spans="1:4">
      <c r="A25" s="130"/>
      <c r="B25" s="143"/>
      <c r="C25" s="143"/>
      <c r="D25" s="143"/>
    </row>
    <row r="26" ht="17.6" spans="1:4">
      <c r="A26" s="130"/>
      <c r="B26" s="143"/>
      <c r="C26" s="143"/>
      <c r="D26" s="143"/>
    </row>
    <row r="27" ht="18.35" spans="1:4">
      <c r="A27" s="153"/>
      <c r="B27" s="146"/>
      <c r="C27" s="146"/>
      <c r="D27" s="146"/>
    </row>
    <row r="28" ht="21.15" spans="1:4">
      <c r="A28" s="154" t="s">
        <v>45</v>
      </c>
      <c r="B28" s="132">
        <f>SUM(B9:B27)</f>
        <v>0</v>
      </c>
      <c r="C28" s="132">
        <f>SUM(C9:C27)</f>
        <v>0</v>
      </c>
      <c r="D28" s="132">
        <f>SUM(D9:D27)</f>
        <v>0</v>
      </c>
    </row>
    <row r="30" ht="17.6" spans="1:4">
      <c r="B30" s="133" t="s">
        <v>6</v>
      </c>
      <c r="C30" s="86" t="s">
        <v>7</v>
      </c>
      <c r="D30" s="86" t="s">
        <v>8</v>
      </c>
    </row>
    <row r="31" ht="17.6" spans="1:4">
      <c r="A31" s="134"/>
      <c r="B31" s="35"/>
      <c r="C31" s="93">
        <f>SUM(B28:D28)</f>
        <v>0</v>
      </c>
      <c r="D31" s="64" t="str">
        <f>IF(OR(B31="",C31=""),"",IFERROR(VLOOKUP(B31,'SENARAI PLAK'!$A$2:$B$159,2,FALSE)*C31,""))</f>
        <v/>
      </c>
    </row>
    <row r="32" ht="17.6" spans="1:4">
      <c r="B32" s="39"/>
      <c r="C32" s="75"/>
      <c r="D32" s="75"/>
    </row>
  </sheetData>
  <mergeCells count="8">
    <mergeCell ref="B1:D1"/>
    <mergeCell ref="B2:D2"/>
    <mergeCell ref="F2:J2"/>
    <mergeCell ref="B3:D3"/>
    <mergeCell ref="B4:D4"/>
    <mergeCell ref="B5:D5"/>
    <mergeCell ref="B7:D7"/>
    <mergeCell ref="A7:A8"/>
  </mergeCells>
  <conditionalFormatting sqref="D31">
    <cfRule type="expression" dxfId="0" priority="100">
      <formula>AND($B31&lt;&gt;"",$D31&lt;&gt;"",IFERROR($D31&lt;&gt;VLOOKUP($B31,'SENARAI PLAK'!$A$2:$B$159,2,FALSE)*$C31,FALSE))</formula>
    </cfRule>
  </conditionalFormatting>
  <dataValidations count="1">
    <dataValidation type="list" allowBlank="1" showErrorMessage="1" errorTitle="JENIS PLAK" error="Pilih Jenis Plak dari senarai." sqref="B31">
      <formula1>'SENARAI PLAK'!$A$2:$A$159</formula1>
    </dataValidation>
  </dataValidations>
  <pageMargins left="0.393055555555556" right="0.196527777777778" top="0.409722222222222" bottom="0.429861111111111" header="0.511805555555556" footer="0.511805555555556"/>
  <pageSetup paperSize="9" scale="95" orientation="portrait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"/>
  <sheetViews>
    <sheetView zoomScale="82" zoomScaleNormal="82" workbookViewId="0">
      <selection activeCell="H16" sqref="H16"/>
    </sheetView>
  </sheetViews>
  <sheetFormatPr defaultColWidth="9.140625" defaultRowHeight="24" customHeight="1"/>
  <cols>
    <col min="1" max="1" width="61.359375" style="37" customWidth="1"/>
    <col min="2" max="3" width="13.859375" style="37" customWidth="1"/>
    <col min="4" max="4" width="38.1640625" style="37" customWidth="1"/>
    <col min="5" max="5" width="9.140625" style="37" customWidth="1"/>
    <col min="6" max="6" width="13.2890625" style="37" customWidth="1"/>
    <col min="7" max="7" width="9.140625" style="37" customWidth="1"/>
    <col min="8" max="8" width="13.2890625" style="37" customWidth="1"/>
    <col min="9" max="10" width="9.140625" style="37" customWidth="1"/>
    <col min="11" max="11" width="13.2890625" style="37" customWidth="1"/>
    <col min="12" max="12" width="9.140625" style="37" customWidth="1"/>
    <col min="13" max="13" width="13.2890625" style="37" customWidth="1"/>
    <col min="14" max="15" width="9.140625" style="37" customWidth="1"/>
    <col min="16" max="16" width="13.2890625" style="37" customWidth="1"/>
    <col min="17" max="17" width="9.140625" style="37" customWidth="1"/>
    <col min="18" max="18" width="13.2890625" style="37" customWidth="1"/>
    <col min="19" max="16384" width="9.140625" style="37" customWidth="1"/>
  </cols>
  <sheetData>
    <row r="1" ht="26" spans="1:20">
      <c r="B1" s="120" t="s">
        <v>12</v>
      </c>
    </row>
    <row r="2" ht="31.6" spans="1:20">
      <c r="A2" s="33"/>
      <c r="B2" s="34"/>
      <c r="C2" s="50"/>
      <c r="D2" s="51"/>
      <c r="F2" s="150"/>
      <c r="G2" s="150"/>
      <c r="H2" s="150"/>
      <c r="I2" s="150"/>
      <c r="J2" s="150"/>
    </row>
    <row r="3" ht="31.6" spans="1:20">
      <c r="B3" s="38"/>
      <c r="C3" s="50"/>
      <c r="D3" s="51"/>
      <c r="F3" s="150"/>
      <c r="G3" s="150"/>
      <c r="H3" s="150"/>
      <c r="I3" s="150"/>
      <c r="J3" s="150"/>
    </row>
    <row r="4" ht="31.6" spans="1:20">
      <c r="B4" s="151"/>
      <c r="C4" s="50"/>
      <c r="D4" s="51"/>
      <c r="F4" s="150"/>
      <c r="G4" s="150"/>
      <c r="H4" s="150"/>
      <c r="I4" s="150"/>
      <c r="J4" s="150"/>
    </row>
    <row r="5" ht="31.6" spans="1:20">
      <c r="B5" s="35"/>
      <c r="C5" s="50"/>
      <c r="D5" s="51"/>
      <c r="F5" s="150"/>
      <c r="G5" s="150"/>
      <c r="H5" s="150"/>
      <c r="I5" s="150"/>
      <c r="J5" s="150"/>
    </row>
    <row r="6" s="31" customFormat="1" ht="31.6" spans="1:20">
      <c r="A6" s="37"/>
      <c r="B6" s="37"/>
      <c r="C6" s="37"/>
      <c r="D6" s="37"/>
      <c r="E6" s="37"/>
      <c r="F6" s="150"/>
      <c r="G6" s="150"/>
      <c r="H6" s="150"/>
      <c r="I6" s="150"/>
      <c r="J6" s="150"/>
      <c r="K6" s="37"/>
      <c r="L6" s="37"/>
      <c r="M6" s="37"/>
      <c r="N6" s="37"/>
      <c r="O6" s="37"/>
      <c r="P6" s="37"/>
      <c r="Q6" s="37"/>
      <c r="R6" s="37"/>
      <c r="S6" s="37"/>
      <c r="T6" s="37"/>
    </row>
    <row r="7" s="31" customFormat="1" ht="52" customHeight="1" spans="1:20">
      <c r="B7" s="36"/>
      <c r="E7" s="152"/>
      <c r="F7" s="152"/>
      <c r="G7" s="150"/>
      <c r="H7" s="150"/>
      <c r="I7" s="150"/>
      <c r="J7" s="150"/>
    </row>
    <row r="8" ht="31.6" spans="1:20">
      <c r="E8" s="31"/>
      <c r="F8" s="150"/>
      <c r="G8" s="150"/>
      <c r="H8" s="150"/>
      <c r="I8" s="150"/>
      <c r="J8" s="150"/>
      <c r="K8" s="31"/>
      <c r="L8" s="31"/>
      <c r="M8" s="31"/>
      <c r="N8" s="31"/>
      <c r="O8" s="31"/>
      <c r="P8" s="31"/>
      <c r="Q8" s="31"/>
      <c r="R8" s="31"/>
      <c r="S8" s="31"/>
      <c r="T8" s="31"/>
    </row>
    <row r="9" ht="31.6" spans="1:20">
      <c r="F9" s="150"/>
      <c r="G9" s="150"/>
      <c r="H9" s="150"/>
      <c r="I9" s="150"/>
      <c r="J9" s="150"/>
    </row>
    <row r="10" ht="40" customHeight="1" spans="1:20">
      <c r="A10" s="32" t="s">
        <v>25</v>
      </c>
    </row>
    <row r="11" ht="17.6" spans="1:20">
      <c r="A11" s="42" t="s">
        <v>26</v>
      </c>
      <c r="B11" s="74"/>
      <c r="C11" s="97"/>
      <c r="D11" s="98"/>
      <c r="F11" s="75" t="s">
        <v>50</v>
      </c>
      <c r="G11" s="108"/>
      <c r="H11" s="108"/>
      <c r="I11" s="73"/>
      <c r="J11" s="31"/>
      <c r="K11" s="75" t="s">
        <v>51</v>
      </c>
      <c r="L11" s="108"/>
      <c r="M11" s="108"/>
      <c r="N11" s="73"/>
      <c r="O11" s="31"/>
      <c r="P11" s="75" t="s">
        <v>52</v>
      </c>
      <c r="Q11" s="108"/>
      <c r="R11" s="108"/>
      <c r="S11" s="73"/>
    </row>
    <row r="12" ht="17.6" spans="1:20">
      <c r="A12" s="122"/>
      <c r="B12" s="74" t="s">
        <v>46</v>
      </c>
      <c r="C12" s="42" t="s">
        <v>47</v>
      </c>
      <c r="D12" s="42" t="s">
        <v>48</v>
      </c>
      <c r="F12" s="75" t="s">
        <v>30</v>
      </c>
      <c r="G12" s="75" t="s">
        <v>7</v>
      </c>
      <c r="H12" s="75" t="s">
        <v>31</v>
      </c>
      <c r="I12" s="75" t="s">
        <v>7</v>
      </c>
      <c r="J12" s="31"/>
      <c r="K12" s="75" t="s">
        <v>30</v>
      </c>
      <c r="L12" s="75" t="s">
        <v>7</v>
      </c>
      <c r="M12" s="75" t="s">
        <v>31</v>
      </c>
      <c r="N12" s="75" t="s">
        <v>7</v>
      </c>
      <c r="O12" s="31"/>
      <c r="P12" s="75" t="s">
        <v>30</v>
      </c>
      <c r="Q12" s="75" t="s">
        <v>7</v>
      </c>
      <c r="R12" s="75" t="s">
        <v>31</v>
      </c>
      <c r="S12" s="75" t="s">
        <v>7</v>
      </c>
    </row>
    <row r="13" ht="17.6" spans="1:20">
      <c r="A13" s="123" t="s">
        <v>32</v>
      </c>
      <c r="B13" s="42">
        <f>SUM(G13:G24)</f>
        <v>0</v>
      </c>
      <c r="C13" s="42">
        <f>SUM(L13:L24)</f>
        <v>0</v>
      </c>
      <c r="D13" s="42">
        <f>SUM(S13:S24)</f>
        <v>0</v>
      </c>
      <c r="F13" s="64"/>
      <c r="G13" s="64"/>
      <c r="H13" s="64"/>
      <c r="I13" s="64"/>
      <c r="J13" s="31"/>
      <c r="K13" s="64"/>
      <c r="L13" s="64"/>
      <c r="M13" s="64"/>
      <c r="N13" s="64"/>
      <c r="O13" s="31"/>
      <c r="P13" s="64"/>
      <c r="Q13" s="64"/>
      <c r="R13" s="64"/>
      <c r="S13" s="64"/>
    </row>
    <row r="14" ht="17.6" spans="1:20">
      <c r="A14" s="124" t="s">
        <v>33</v>
      </c>
      <c r="B14" s="42">
        <f>SUM(G13:G24)</f>
        <v>0</v>
      </c>
      <c r="C14" s="42">
        <f>SUM(L13:L24)</f>
        <v>0</v>
      </c>
      <c r="D14" s="42">
        <f>SUM(S13:S24)</f>
        <v>0</v>
      </c>
      <c r="F14" s="64"/>
      <c r="G14" s="64"/>
      <c r="H14" s="64"/>
      <c r="I14" s="64"/>
      <c r="J14" s="31"/>
      <c r="K14" s="64"/>
      <c r="L14" s="64"/>
      <c r="M14" s="64"/>
      <c r="N14" s="64"/>
      <c r="O14" s="31"/>
      <c r="P14" s="64"/>
      <c r="Q14" s="64"/>
      <c r="R14" s="64"/>
      <c r="S14" s="64"/>
    </row>
    <row r="15" ht="17.6" spans="1:20">
      <c r="A15" s="125" t="s">
        <v>34</v>
      </c>
      <c r="B15" s="42">
        <f>SUM(G13:G24)</f>
        <v>0</v>
      </c>
      <c r="C15" s="42">
        <f>SUM(L13:L24)</f>
        <v>0</v>
      </c>
      <c r="D15" s="42">
        <f>SUM(S13:S24)</f>
        <v>0</v>
      </c>
      <c r="F15" s="64"/>
      <c r="G15" s="64"/>
      <c r="H15" s="64"/>
      <c r="I15" s="64"/>
      <c r="J15" s="31"/>
      <c r="K15" s="64"/>
      <c r="L15" s="64"/>
      <c r="M15" s="64"/>
      <c r="N15" s="64"/>
      <c r="O15" s="31"/>
      <c r="P15" s="64"/>
      <c r="Q15" s="64"/>
      <c r="R15" s="64"/>
      <c r="S15" s="64"/>
    </row>
    <row r="16" ht="17.6" spans="1:20">
      <c r="A16" s="125" t="s">
        <v>35</v>
      </c>
      <c r="B16" s="42">
        <f>SUM(G13:G24)</f>
        <v>0</v>
      </c>
      <c r="C16" s="42">
        <f>SUM(L13:L24)</f>
        <v>0</v>
      </c>
      <c r="D16" s="42">
        <f>SUM(S13:S24)</f>
        <v>0</v>
      </c>
      <c r="F16" s="64"/>
      <c r="G16" s="64"/>
      <c r="H16" s="64"/>
      <c r="I16" s="64"/>
      <c r="J16" s="31"/>
      <c r="K16" s="64"/>
      <c r="L16" s="64"/>
      <c r="M16" s="64"/>
      <c r="N16" s="64"/>
      <c r="O16" s="31"/>
      <c r="P16" s="64"/>
      <c r="Q16" s="64"/>
      <c r="R16" s="64"/>
      <c r="S16" s="64"/>
    </row>
    <row r="17" ht="17.6" spans="1:19">
      <c r="A17" s="126" t="s">
        <v>36</v>
      </c>
      <c r="B17" s="42">
        <f>SUM(G13:G24)</f>
        <v>0</v>
      </c>
      <c r="C17" s="42">
        <f>SUM(L13:L24)</f>
        <v>0</v>
      </c>
      <c r="D17" s="42">
        <f>SUM(S13:S24)</f>
        <v>0</v>
      </c>
      <c r="F17" s="64"/>
      <c r="G17" s="64"/>
      <c r="H17" s="64"/>
      <c r="I17" s="64"/>
      <c r="J17" s="31"/>
      <c r="K17" s="64"/>
      <c r="L17" s="64"/>
      <c r="M17" s="64"/>
      <c r="N17" s="64"/>
      <c r="O17" s="31"/>
      <c r="P17" s="64"/>
      <c r="Q17" s="64"/>
      <c r="R17" s="64"/>
      <c r="S17" s="64"/>
    </row>
    <row r="18" ht="17.6" spans="1:19">
      <c r="A18" s="126" t="s">
        <v>37</v>
      </c>
      <c r="B18" s="42">
        <f>SUM(G13:G24)</f>
        <v>0</v>
      </c>
      <c r="C18" s="42">
        <f>SUM(L13:L24)</f>
        <v>0</v>
      </c>
      <c r="D18" s="42">
        <f>SUM(S13:S24)</f>
        <v>0</v>
      </c>
      <c r="F18" s="64"/>
      <c r="G18" s="64"/>
      <c r="H18" s="64"/>
      <c r="I18" s="64"/>
      <c r="J18" s="31"/>
      <c r="K18" s="64"/>
      <c r="L18" s="64"/>
      <c r="M18" s="64"/>
      <c r="N18" s="64"/>
      <c r="O18" s="31"/>
      <c r="P18" s="64"/>
      <c r="Q18" s="64"/>
      <c r="R18" s="64"/>
      <c r="S18" s="64"/>
    </row>
    <row r="19" ht="17.6" spans="1:19">
      <c r="A19" s="126" t="s">
        <v>38</v>
      </c>
      <c r="B19" s="42">
        <f>SUM(G13:G24)</f>
        <v>0</v>
      </c>
      <c r="C19" s="42">
        <f>SUM(L13:L24)</f>
        <v>0</v>
      </c>
      <c r="D19" s="42">
        <f>SUM(S13:S24)</f>
        <v>0</v>
      </c>
      <c r="F19" s="64"/>
      <c r="G19" s="64"/>
      <c r="H19" s="64"/>
      <c r="I19" s="64"/>
      <c r="J19" s="31"/>
      <c r="K19" s="64"/>
      <c r="L19" s="64"/>
      <c r="M19" s="64"/>
      <c r="N19" s="64"/>
      <c r="O19" s="31"/>
      <c r="P19" s="64"/>
      <c r="Q19" s="64"/>
      <c r="R19" s="64"/>
      <c r="S19" s="64"/>
    </row>
    <row r="20" ht="17.6" spans="1:19">
      <c r="A20" s="126" t="s">
        <v>39</v>
      </c>
      <c r="B20" s="42">
        <f>SUM(G13:G24)</f>
        <v>0</v>
      </c>
      <c r="C20" s="42">
        <f>SUM(L13:L24)</f>
        <v>0</v>
      </c>
      <c r="D20" s="42">
        <f>SUM(S13:S24)</f>
        <v>0</v>
      </c>
      <c r="F20" s="64"/>
      <c r="G20" s="64"/>
      <c r="H20" s="64"/>
      <c r="I20" s="64"/>
      <c r="J20" s="31"/>
      <c r="K20" s="64"/>
      <c r="L20" s="64"/>
      <c r="M20" s="64"/>
      <c r="N20" s="64"/>
      <c r="O20" s="31"/>
      <c r="P20" s="64"/>
      <c r="Q20" s="64"/>
      <c r="R20" s="64"/>
      <c r="S20" s="64"/>
    </row>
    <row r="21" ht="17.6" spans="1:19">
      <c r="A21" s="126" t="s">
        <v>40</v>
      </c>
      <c r="B21" s="42">
        <f>SUM(G13:G24)</f>
        <v>0</v>
      </c>
      <c r="C21" s="42">
        <f>SUM(L13:L24)</f>
        <v>0</v>
      </c>
      <c r="D21" s="42">
        <f>SUM(S13:S24)</f>
        <v>0</v>
      </c>
      <c r="F21" s="64"/>
      <c r="G21" s="64"/>
      <c r="H21" s="64"/>
      <c r="I21" s="64"/>
      <c r="J21" s="31"/>
      <c r="K21" s="64"/>
      <c r="L21" s="64"/>
      <c r="M21" s="64"/>
      <c r="N21" s="64"/>
      <c r="O21" s="31"/>
      <c r="P21" s="64"/>
      <c r="Q21" s="64"/>
      <c r="R21" s="64"/>
      <c r="S21" s="64"/>
    </row>
    <row r="22" ht="17.6" spans="1:19">
      <c r="A22" s="126" t="s">
        <v>41</v>
      </c>
      <c r="B22" s="42">
        <f>SUM(G13:G24)</f>
        <v>0</v>
      </c>
      <c r="C22" s="42">
        <f>SUM(L13:L24)</f>
        <v>0</v>
      </c>
      <c r="D22" s="42">
        <f>SUM(S13:S24)</f>
        <v>0</v>
      </c>
      <c r="F22" s="64"/>
      <c r="G22" s="64"/>
      <c r="H22" s="64"/>
      <c r="I22" s="64"/>
      <c r="J22" s="31"/>
      <c r="K22" s="64"/>
      <c r="L22" s="64"/>
      <c r="M22" s="64"/>
      <c r="N22" s="64"/>
      <c r="O22" s="31"/>
      <c r="P22" s="64"/>
      <c r="Q22" s="64"/>
      <c r="R22" s="64"/>
      <c r="S22" s="64"/>
    </row>
    <row r="23" ht="17.6" spans="1:19">
      <c r="A23" s="126" t="s">
        <v>42</v>
      </c>
      <c r="B23" s="42">
        <f>SUM(I13:I24)</f>
        <v>0</v>
      </c>
      <c r="C23" s="42">
        <f>SUM(N13:N24)</f>
        <v>0</v>
      </c>
      <c r="D23" s="42">
        <f>SUM(S13:S24)</f>
        <v>0</v>
      </c>
      <c r="F23" s="64"/>
      <c r="G23" s="64"/>
      <c r="H23" s="64"/>
      <c r="I23" s="64"/>
      <c r="J23" s="31"/>
      <c r="K23" s="64"/>
      <c r="L23" s="64"/>
      <c r="M23" s="64"/>
      <c r="N23" s="64"/>
      <c r="O23" s="31"/>
      <c r="P23" s="64"/>
      <c r="Q23" s="64"/>
      <c r="R23" s="64"/>
      <c r="S23" s="64"/>
    </row>
    <row r="24" ht="17.6" spans="1:19">
      <c r="A24" s="125" t="s">
        <v>43</v>
      </c>
      <c r="B24" s="42">
        <f>SUM(G13:G24)</f>
        <v>0</v>
      </c>
      <c r="C24" s="42">
        <f>SUM(L13:L24)</f>
        <v>0</v>
      </c>
      <c r="D24" s="42">
        <f>SUM(S13:S24)</f>
        <v>0</v>
      </c>
      <c r="F24" s="64"/>
      <c r="G24" s="64"/>
      <c r="H24" s="64"/>
      <c r="I24" s="64"/>
      <c r="J24" s="31"/>
      <c r="K24" s="64"/>
      <c r="L24" s="64"/>
      <c r="M24" s="64"/>
      <c r="N24" s="64"/>
      <c r="O24" s="31"/>
      <c r="P24" s="64"/>
      <c r="Q24" s="64"/>
      <c r="R24" s="64"/>
      <c r="S24" s="64"/>
    </row>
    <row r="25" ht="17.6" spans="1:19">
      <c r="A25" s="127" t="s">
        <v>44</v>
      </c>
      <c r="B25" s="42">
        <f>SUM(G13:G24)</f>
        <v>0</v>
      </c>
      <c r="C25" s="42">
        <f>SUM(L13:L24)</f>
        <v>0</v>
      </c>
      <c r="D25" s="42">
        <f>SUM(S13:S24)</f>
        <v>0</v>
      </c>
    </row>
    <row r="26" ht="17.6" spans="1:19">
      <c r="A26" s="128" t="s">
        <v>49</v>
      </c>
      <c r="B26" s="42">
        <f>SUM(G13:G24)</f>
        <v>0</v>
      </c>
      <c r="C26" s="42">
        <f>SUM(L13:L24)</f>
        <v>0</v>
      </c>
      <c r="D26" s="42">
        <f>SUM(Q13:Q24)</f>
        <v>0</v>
      </c>
    </row>
    <row r="27" ht="17.6" spans="1:19">
      <c r="A27" s="129"/>
      <c r="B27" s="42">
        <f>SUM(G13:G24)</f>
        <v>0</v>
      </c>
      <c r="C27" s="42">
        <f>SUM(L13:L24)</f>
        <v>0</v>
      </c>
      <c r="D27" s="42">
        <f>SUM(Q13:Q24)</f>
        <v>0</v>
      </c>
    </row>
    <row r="28" ht="17.6" spans="1:19">
      <c r="A28" s="130"/>
      <c r="B28" s="42">
        <f>SUM(G13:G24)</f>
        <v>0</v>
      </c>
      <c r="C28" s="42">
        <f>SUM(L13:L24)</f>
        <v>0</v>
      </c>
      <c r="D28" s="42">
        <f>SUM(Q13:Q24)</f>
        <v>0</v>
      </c>
    </row>
    <row r="29" ht="17.6" spans="1:19">
      <c r="A29" s="130"/>
      <c r="B29" s="42">
        <f>SUM(G13:G24)</f>
        <v>0</v>
      </c>
      <c r="C29" s="42">
        <f>SUM(L13:L24)</f>
        <v>0</v>
      </c>
      <c r="D29" s="42">
        <f>SUM(Q13:Q24)</f>
        <v>0</v>
      </c>
    </row>
    <row r="30" ht="17.6" spans="1:19">
      <c r="A30" s="130"/>
      <c r="B30" s="42">
        <f>SUM(G13:G24)</f>
        <v>0</v>
      </c>
      <c r="C30" s="42">
        <f>SUM(L13:L24)</f>
        <v>0</v>
      </c>
      <c r="D30" s="42">
        <f>SUM(Q13:Q24)</f>
        <v>0</v>
      </c>
    </row>
    <row r="31" ht="17.6" spans="1:19">
      <c r="A31" s="130"/>
      <c r="B31" s="42">
        <f>SUM(G13:G24)</f>
        <v>0</v>
      </c>
      <c r="C31" s="42">
        <f>SUM(L13:L24)</f>
        <v>0</v>
      </c>
      <c r="D31" s="42">
        <f>SUM(Q13:Q24)</f>
        <v>0</v>
      </c>
    </row>
    <row r="32" ht="20.4" spans="1:19">
      <c r="A32" s="131" t="s">
        <v>45</v>
      </c>
      <c r="B32" s="132">
        <f>SUM(B13:B31)</f>
        <v>0</v>
      </c>
      <c r="C32" s="132">
        <f>SUM(C13:C31)</f>
        <v>0</v>
      </c>
      <c r="D32" s="132">
        <f>SUM(D13:D31)</f>
        <v>0</v>
      </c>
    </row>
    <row r="34" ht="17.6" spans="1:4">
      <c r="B34" s="133" t="s">
        <v>6</v>
      </c>
      <c r="C34" s="86" t="s">
        <v>7</v>
      </c>
      <c r="D34" s="86" t="s">
        <v>8</v>
      </c>
    </row>
    <row r="35" ht="17.6" spans="1:4">
      <c r="A35" s="134"/>
      <c r="B35" s="35"/>
      <c r="C35" s="93">
        <f>SUM(B32:D32)</f>
        <v>0</v>
      </c>
      <c r="D35" s="64" t="str">
        <f>IF(OR(B35="",C35=""),"",IFERROR(VLOOKUP(B35,'SENARAI PLAK'!$A$2:$B$159,2,FALSE)*C35,""))</f>
        <v/>
      </c>
    </row>
  </sheetData>
  <mergeCells count="12">
    <mergeCell ref="B1:D1"/>
    <mergeCell ref="B2:D2"/>
    <mergeCell ref="B3:D3"/>
    <mergeCell ref="B4:D4"/>
    <mergeCell ref="B5:D5"/>
    <mergeCell ref="B7:D7"/>
    <mergeCell ref="A10:D10"/>
    <mergeCell ref="B11:D11"/>
    <mergeCell ref="F11:I11"/>
    <mergeCell ref="K11:N11"/>
    <mergeCell ref="P11:S11"/>
    <mergeCell ref="A11:A12"/>
  </mergeCells>
  <conditionalFormatting sqref="D35">
    <cfRule type="expression" dxfId="0" priority="100">
      <formula>AND($B35&lt;&gt;"",$D35&lt;&gt;"",IFERROR($D35&lt;&gt;VLOOKUP($B35,'SENARAI PLAK'!$A$2:$B$159,2,FALSE)*$C35,FALSE))</formula>
    </cfRule>
  </conditionalFormatting>
  <dataValidations count="1">
    <dataValidation type="list" allowBlank="1" showErrorMessage="1" errorTitle="JENIS PLAK" error="Pilih Jenis Plak dari senarai." sqref="B35">
      <formula1>'SENARAI PLAK'!$A$2:$A$159</formula1>
    </dataValidation>
  </dataValidations>
  <pageMargins left="0.393055555555556" right="0.196527777777778" top="0.409722222222222" bottom="0.429861111111111" header="0.511805555555556" footer="0.511805555555556"/>
  <pageSetup paperSize="9" scale="95" orientation="portrait" horizontalDpi="300" verticalDpi="3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zoomScale="72" zoomScaleNormal="72" workbookViewId="0">
      <selection activeCell="I6" sqref="I6"/>
    </sheetView>
  </sheetViews>
  <sheetFormatPr defaultColWidth="11.5703125" defaultRowHeight="26.25" customHeight="1"/>
  <cols>
    <col min="1" max="1" width="61.2890625" style="37" customWidth="1"/>
    <col min="2" max="2" width="17" style="37" customWidth="1"/>
    <col min="3" max="3" width="16.4296875" style="37" customWidth="1"/>
    <col min="4" max="4" width="17.2890625" style="37" customWidth="1"/>
    <col min="5" max="5" width="9.140625" style="37" customWidth="1"/>
    <col min="6" max="6" width="6.328125" style="37" customWidth="1"/>
    <col min="7" max="7" width="18.078125" style="37" customWidth="1"/>
    <col min="8" max="8" width="9.140625" style="37" customWidth="1"/>
    <col min="9" max="9" width="43.578125" style="37" customWidth="1"/>
    <col min="10" max="247" width="9.140625" style="37" customWidth="1"/>
  </cols>
  <sheetData>
    <row r="1" s="37" customFormat="1" ht="19.2" spans="1:7">
      <c r="A1" s="33"/>
      <c r="B1" s="33"/>
      <c r="C1" s="33"/>
      <c r="D1" s="33"/>
    </row>
    <row r="2" s="37" customFormat="1" ht="26" spans="1:7">
      <c r="B2" s="32" t="s">
        <v>12</v>
      </c>
    </row>
    <row r="3" s="37" customFormat="1" ht="47" customHeight="1" spans="1:7">
      <c r="A3" s="33"/>
      <c r="B3" s="135"/>
      <c r="C3" s="136"/>
      <c r="D3" s="136"/>
      <c r="E3" s="137"/>
      <c r="G3" s="36"/>
    </row>
    <row r="4" s="37" customFormat="1" ht="17.6" spans="1:7">
      <c r="B4" s="138"/>
      <c r="E4" s="139"/>
    </row>
    <row r="5" s="37" customFormat="1" ht="17.6" spans="1:7">
      <c r="B5" s="138"/>
      <c r="E5" s="139"/>
    </row>
    <row r="6" ht="17.6" spans="1:7">
      <c r="B6" s="140"/>
      <c r="C6" s="141"/>
      <c r="D6" s="141"/>
      <c r="E6" s="142"/>
    </row>
    <row r="7" s="31" customFormat="1" ht="19.2" spans="1:7">
      <c r="A7" s="33"/>
      <c r="B7" s="37"/>
      <c r="C7" s="37"/>
      <c r="D7" s="37"/>
      <c r="E7" s="37"/>
      <c r="F7" s="37"/>
    </row>
    <row r="8" s="31" customFormat="1" ht="17.6" spans="1:7">
      <c r="A8" s="75" t="s">
        <v>26</v>
      </c>
      <c r="B8" s="74" t="s">
        <v>15</v>
      </c>
      <c r="C8" s="97"/>
      <c r="D8" s="98"/>
    </row>
    <row r="9" ht="17.6" spans="1:7">
      <c r="A9" s="90"/>
      <c r="B9" s="74" t="s">
        <v>53</v>
      </c>
      <c r="C9" s="42" t="s">
        <v>54</v>
      </c>
      <c r="D9" s="42" t="s">
        <v>55</v>
      </c>
      <c r="E9" s="31"/>
      <c r="F9" s="31"/>
    </row>
    <row r="10" ht="17.6" spans="1:7">
      <c r="A10" s="129" t="s">
        <v>32</v>
      </c>
      <c r="B10" s="44"/>
      <c r="C10" s="44"/>
      <c r="D10" s="44"/>
    </row>
    <row r="11" ht="17.6" spans="1:7">
      <c r="A11" s="128" t="s">
        <v>33</v>
      </c>
      <c r="B11" s="44"/>
      <c r="C11" s="44"/>
      <c r="D11" s="44"/>
    </row>
    <row r="12" ht="17.6" spans="1:7">
      <c r="A12" s="128" t="s">
        <v>34</v>
      </c>
      <c r="B12" s="44"/>
      <c r="C12" s="44"/>
      <c r="D12" s="44"/>
    </row>
    <row r="13" ht="17.6" spans="1:7">
      <c r="A13" s="124" t="s">
        <v>35</v>
      </c>
      <c r="B13" s="44"/>
      <c r="C13" s="44"/>
      <c r="D13" s="44"/>
    </row>
    <row r="14" ht="17.6" spans="1:7">
      <c r="A14" s="123" t="s">
        <v>36</v>
      </c>
      <c r="B14" s="44"/>
      <c r="C14" s="44"/>
      <c r="D14" s="44"/>
    </row>
    <row r="15" ht="17.6" spans="1:7">
      <c r="A15" s="128" t="s">
        <v>37</v>
      </c>
      <c r="B15" s="44"/>
      <c r="C15" s="44"/>
      <c r="D15" s="44"/>
    </row>
    <row r="16" ht="17.6" spans="1:7">
      <c r="A16" s="128" t="s">
        <v>38</v>
      </c>
      <c r="B16" s="44"/>
      <c r="C16" s="44"/>
      <c r="D16" s="44"/>
    </row>
    <row r="17" ht="17.6" spans="1:4">
      <c r="A17" s="128" t="s">
        <v>39</v>
      </c>
      <c r="B17" s="44"/>
      <c r="C17" s="44"/>
      <c r="D17" s="44"/>
    </row>
    <row r="18" ht="17.6" spans="1:4">
      <c r="A18" s="124" t="s">
        <v>40</v>
      </c>
      <c r="B18" s="44"/>
      <c r="C18" s="44"/>
      <c r="D18" s="44"/>
    </row>
    <row r="19" ht="17.6" spans="1:4">
      <c r="A19" s="125" t="s">
        <v>41</v>
      </c>
      <c r="B19" s="44"/>
      <c r="C19" s="44"/>
      <c r="D19" s="44"/>
    </row>
    <row r="20" ht="17.6" spans="1:4">
      <c r="A20" s="125" t="s">
        <v>42</v>
      </c>
      <c r="B20" s="44"/>
      <c r="C20" s="44"/>
      <c r="D20" s="44"/>
    </row>
    <row r="21" ht="17.6" spans="1:4">
      <c r="A21" s="126" t="s">
        <v>56</v>
      </c>
      <c r="B21" s="44"/>
      <c r="C21" s="44"/>
      <c r="D21" s="44"/>
    </row>
    <row r="22" ht="17.6" spans="1:4">
      <c r="A22" s="123" t="s">
        <v>57</v>
      </c>
      <c r="B22" s="44"/>
      <c r="C22" s="44"/>
      <c r="D22" s="44"/>
    </row>
    <row r="23" ht="17.6" spans="1:4">
      <c r="A23" s="124" t="s">
        <v>43</v>
      </c>
      <c r="B23" s="44"/>
      <c r="C23" s="44"/>
      <c r="D23" s="44"/>
    </row>
    <row r="24" ht="17.6" spans="1:4">
      <c r="A24" s="123" t="s">
        <v>44</v>
      </c>
      <c r="B24" s="44"/>
      <c r="C24" s="44"/>
      <c r="D24" s="44"/>
    </row>
    <row r="25" ht="17.6" spans="1:4">
      <c r="A25" s="128" t="s">
        <v>49</v>
      </c>
      <c r="B25" s="143"/>
      <c r="C25" s="143"/>
      <c r="D25" s="143"/>
    </row>
    <row r="26" ht="17.6" spans="1:4">
      <c r="A26" s="144"/>
      <c r="B26" s="143"/>
      <c r="C26" s="143"/>
      <c r="D26" s="143"/>
    </row>
    <row r="27" ht="17.6" spans="1:4">
      <c r="A27" s="128"/>
      <c r="B27" s="143"/>
      <c r="C27" s="143"/>
      <c r="D27" s="143"/>
    </row>
    <row r="28" ht="17.6" spans="1:4">
      <c r="A28" s="128"/>
      <c r="B28" s="143"/>
      <c r="C28" s="143"/>
      <c r="D28" s="143"/>
    </row>
    <row r="29" ht="17.6" spans="1:4">
      <c r="A29" s="128"/>
      <c r="B29" s="143"/>
      <c r="C29" s="143"/>
      <c r="D29" s="143"/>
    </row>
    <row r="30" ht="17.6" spans="1:4">
      <c r="A30" s="128"/>
      <c r="B30" s="143"/>
      <c r="C30" s="143"/>
      <c r="D30" s="143"/>
    </row>
    <row r="31" ht="17.6" spans="1:4">
      <c r="A31" s="128"/>
      <c r="B31" s="143"/>
      <c r="C31" s="143"/>
      <c r="D31" s="143"/>
    </row>
    <row r="32" ht="18.35" spans="1:4">
      <c r="A32" s="145"/>
      <c r="B32" s="146"/>
      <c r="C32" s="146"/>
      <c r="D32" s="146"/>
    </row>
    <row r="33" ht="21.15" spans="1:4">
      <c r="A33" s="147" t="s">
        <v>58</v>
      </c>
      <c r="B33" s="148">
        <f>SUM(B10:B32)</f>
        <v>0</v>
      </c>
      <c r="C33" s="148">
        <f>SUM(C10:C32)</f>
        <v>0</v>
      </c>
      <c r="D33" s="148">
        <f>SUM(D10:D32)</f>
        <v>0</v>
      </c>
    </row>
    <row r="34" s="37" customFormat="1" ht="17.6"/>
    <row r="35" s="37" customFormat="1" ht="17.6" spans="1:4">
      <c r="B35" s="86" t="s">
        <v>6</v>
      </c>
      <c r="C35" s="86" t="s">
        <v>7</v>
      </c>
      <c r="D35" s="86" t="s">
        <v>8</v>
      </c>
    </row>
    <row r="36" s="37" customFormat="1" ht="17.6" spans="1:4">
      <c r="A36" s="134"/>
      <c r="B36" s="64"/>
      <c r="C36" s="93">
        <f>SUM(B33:D33)</f>
        <v>0</v>
      </c>
      <c r="D36" s="149" t="str">
        <f>IF(OR(B36="",C36=""),"",IFERROR(VLOOKUP(B36,'SENARAI PLAK'!$A$2:$B$159,2,FALSE)*C36,""))</f>
        <v/>
      </c>
    </row>
  </sheetData>
  <mergeCells count="8">
    <mergeCell ref="B2:E2"/>
    <mergeCell ref="B3:E3"/>
    <mergeCell ref="G3:I3"/>
    <mergeCell ref="B4:E4"/>
    <mergeCell ref="B5:E5"/>
    <mergeCell ref="B6:E6"/>
    <mergeCell ref="B8:D8"/>
    <mergeCell ref="A8:A9"/>
  </mergeCells>
  <conditionalFormatting sqref="D36">
    <cfRule type="expression" dxfId="0" priority="100">
      <formula>AND($B36&lt;&gt;"",$D36&lt;&gt;"",IFERROR($D36&lt;&gt;VLOOKUP($B36,'SENARAI PLAK'!$A$2:$B$159,2,FALSE)*$C36,FALSE))</formula>
    </cfRule>
  </conditionalFormatting>
  <dataValidations count="1">
    <dataValidation type="list" allowBlank="1" showErrorMessage="1" errorTitle="JENIS PLAK" error="Pilih Jenis Plak dari senarai." sqref="B36">
      <formula1>'SENARAI PLAK'!$A$2:$A$159</formula1>
    </dataValidation>
  </dataValidations>
  <pageMargins left="0.826388888888889" right="0.66875" top="0.229861111111111" bottom="0.329861111111111" header="0.511805555555556" footer="0.511805555555556"/>
  <pageSetup paperSize="9" scale="95" orientation="portrait" horizontalDpi="3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zoomScale="68" zoomScaleNormal="68" workbookViewId="0">
      <selection activeCell="A7" sqref="A7"/>
    </sheetView>
  </sheetViews>
  <sheetFormatPr defaultColWidth="9.140625" defaultRowHeight="24.75" customHeight="1"/>
  <cols>
    <col min="1" max="1" width="45.140625" style="37" customWidth="1"/>
    <col min="2" max="2" width="21.7109375" style="37" customWidth="1"/>
    <col min="3" max="3" width="20.140625" style="37" customWidth="1"/>
    <col min="4" max="4" width="28.1484375" style="37" customWidth="1"/>
    <col min="5" max="5" width="9.140625" style="37" customWidth="1"/>
    <col min="6" max="6" width="13.2890625" style="37" customWidth="1"/>
    <col min="7" max="7" width="9.140625" style="37" customWidth="1"/>
    <col min="8" max="8" width="13.2890625" style="37" customWidth="1"/>
    <col min="9" max="10" width="9.140625" style="37" customWidth="1"/>
    <col min="11" max="11" width="13.2890625" style="37" customWidth="1"/>
    <col min="12" max="12" width="9.140625" style="37" customWidth="1"/>
    <col min="13" max="13" width="13.2890625" style="37" customWidth="1"/>
    <col min="14" max="15" width="9.140625" style="37" customWidth="1"/>
    <col min="16" max="16" width="13.2890625" style="37" customWidth="1"/>
    <col min="17" max="17" width="9.140625" style="37" customWidth="1"/>
    <col min="18" max="18" width="13.2890625" style="37" customWidth="1"/>
    <col min="19" max="16384" width="9.140625" style="37" customWidth="1"/>
  </cols>
  <sheetData>
    <row r="1" ht="26" spans="1:19">
      <c r="B1" s="120" t="s">
        <v>12</v>
      </c>
    </row>
    <row r="2" ht="31.6" spans="1:19">
      <c r="A2" s="33"/>
      <c r="B2" s="34"/>
      <c r="C2" s="50"/>
      <c r="D2" s="51"/>
      <c r="F2" s="121"/>
    </row>
    <row r="3" ht="30" customHeight="1" spans="1:19">
      <c r="B3" s="38"/>
      <c r="C3" s="50"/>
      <c r="D3" s="51"/>
    </row>
    <row r="4" ht="33" customHeight="1" spans="1:19">
      <c r="B4" s="38"/>
      <c r="C4" s="50"/>
      <c r="D4" s="51"/>
      <c r="F4" s="31"/>
      <c r="G4" s="31"/>
      <c r="H4" s="31"/>
      <c r="I4" s="31"/>
    </row>
    <row r="5" ht="31" customHeight="1" spans="1:19">
      <c r="B5" s="34"/>
      <c r="C5" s="50"/>
      <c r="D5" s="51"/>
      <c r="F5" s="31"/>
      <c r="G5" s="31"/>
      <c r="H5" s="31"/>
      <c r="I5" s="31"/>
    </row>
    <row r="6" s="31" customFormat="1" ht="17.6" spans="1:19">
      <c r="A6" s="37"/>
      <c r="E6" s="37"/>
      <c r="F6" s="31"/>
      <c r="G6" s="31"/>
      <c r="H6" s="31"/>
      <c r="I6" s="31"/>
      <c r="J6" s="37"/>
      <c r="K6" s="37"/>
      <c r="L6" s="37"/>
      <c r="M6" s="37"/>
      <c r="N6" s="37"/>
      <c r="O6" s="37"/>
      <c r="P6" s="37"/>
      <c r="Q6" s="37"/>
      <c r="R6" s="37"/>
      <c r="S6" s="37"/>
    </row>
    <row r="7" s="31" customFormat="1" ht="53" customHeight="1" spans="1:19">
      <c r="B7" s="36"/>
    </row>
    <row r="8" ht="17.6" spans="1:19"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</row>
    <row r="10" ht="40" customHeight="1" spans="1:19">
      <c r="A10" s="32" t="s">
        <v>25</v>
      </c>
    </row>
    <row r="11" ht="17.6" spans="1:19">
      <c r="A11" s="42" t="s">
        <v>26</v>
      </c>
      <c r="B11" s="74"/>
      <c r="C11" s="97"/>
      <c r="D11" s="98"/>
      <c r="F11" s="75" t="s">
        <v>59</v>
      </c>
      <c r="G11" s="108"/>
      <c r="H11" s="108"/>
      <c r="I11" s="73"/>
      <c r="J11" s="31"/>
      <c r="K11" s="75" t="s">
        <v>60</v>
      </c>
      <c r="L11" s="108"/>
      <c r="M11" s="108"/>
      <c r="N11" s="73"/>
      <c r="O11" s="31"/>
      <c r="P11" s="75" t="s">
        <v>61</v>
      </c>
      <c r="Q11" s="108"/>
      <c r="R11" s="108"/>
      <c r="S11" s="73"/>
    </row>
    <row r="12" ht="17.6" spans="1:19">
      <c r="A12" s="122"/>
      <c r="B12" s="74" t="s">
        <v>53</v>
      </c>
      <c r="C12" s="42" t="s">
        <v>54</v>
      </c>
      <c r="D12" s="42" t="s">
        <v>55</v>
      </c>
      <c r="F12" s="75" t="s">
        <v>30</v>
      </c>
      <c r="G12" s="75" t="s">
        <v>7</v>
      </c>
      <c r="H12" s="75" t="s">
        <v>31</v>
      </c>
      <c r="I12" s="75" t="s">
        <v>7</v>
      </c>
      <c r="J12" s="31"/>
      <c r="K12" s="75" t="s">
        <v>30</v>
      </c>
      <c r="L12" s="75" t="s">
        <v>7</v>
      </c>
      <c r="M12" s="75" t="s">
        <v>31</v>
      </c>
      <c r="N12" s="75" t="s">
        <v>7</v>
      </c>
      <c r="O12" s="31"/>
      <c r="P12" s="75" t="s">
        <v>30</v>
      </c>
      <c r="Q12" s="75" t="s">
        <v>7</v>
      </c>
      <c r="R12" s="75" t="s">
        <v>31</v>
      </c>
      <c r="S12" s="75" t="s">
        <v>7</v>
      </c>
    </row>
    <row r="13" ht="17.6" spans="1:19">
      <c r="A13" s="123" t="s">
        <v>32</v>
      </c>
      <c r="B13" s="42">
        <f>SUM(G13:G24)</f>
        <v>0</v>
      </c>
      <c r="C13" s="42">
        <f>SUM(L13:L24)</f>
        <v>0</v>
      </c>
      <c r="D13" s="42">
        <f>SUM(Q13:Q24)</f>
        <v>0</v>
      </c>
      <c r="F13" s="64"/>
      <c r="G13" s="64"/>
      <c r="H13" s="64"/>
      <c r="I13" s="64"/>
      <c r="J13" s="31"/>
      <c r="K13" s="64"/>
      <c r="L13" s="64"/>
      <c r="M13" s="64"/>
      <c r="N13" s="64"/>
      <c r="O13" s="31"/>
      <c r="P13" s="64"/>
      <c r="Q13" s="64"/>
      <c r="R13" s="64"/>
      <c r="S13" s="64"/>
    </row>
    <row r="14" ht="17.6" spans="1:19">
      <c r="A14" s="124" t="s">
        <v>33</v>
      </c>
      <c r="B14" s="42">
        <f>SUM(G13:G24)</f>
        <v>0</v>
      </c>
      <c r="C14" s="42">
        <f>SUM(L13:L24)</f>
        <v>0</v>
      </c>
      <c r="D14" s="42">
        <f>SUM(Q13:Q24)</f>
        <v>0</v>
      </c>
      <c r="F14" s="64"/>
      <c r="G14" s="64"/>
      <c r="H14" s="64"/>
      <c r="I14" s="64"/>
      <c r="J14" s="31"/>
      <c r="K14" s="64"/>
      <c r="L14" s="64"/>
      <c r="M14" s="64"/>
      <c r="N14" s="64"/>
      <c r="O14" s="31"/>
      <c r="P14" s="64"/>
      <c r="Q14" s="64"/>
      <c r="R14" s="64"/>
      <c r="S14" s="64"/>
    </row>
    <row r="15" ht="17.6" spans="1:19">
      <c r="A15" s="125" t="s">
        <v>34</v>
      </c>
      <c r="B15" s="42">
        <f>SUM(G13:G24)</f>
        <v>0</v>
      </c>
      <c r="C15" s="42">
        <f>SUM(L13:L24)</f>
        <v>0</v>
      </c>
      <c r="D15" s="42">
        <f>SUM(Q13:Q24)</f>
        <v>0</v>
      </c>
      <c r="F15" s="64"/>
      <c r="G15" s="64"/>
      <c r="H15" s="64"/>
      <c r="I15" s="64"/>
      <c r="J15" s="31"/>
      <c r="K15" s="64"/>
      <c r="L15" s="64"/>
      <c r="M15" s="64"/>
      <c r="N15" s="64"/>
      <c r="O15" s="31"/>
      <c r="P15" s="64"/>
      <c r="Q15" s="64"/>
      <c r="R15" s="64"/>
      <c r="S15" s="64"/>
    </row>
    <row r="16" ht="17.6" spans="1:19">
      <c r="A16" s="125" t="s">
        <v>35</v>
      </c>
      <c r="B16" s="42">
        <f>SUM(G13:G24)</f>
        <v>0</v>
      </c>
      <c r="C16" s="42">
        <f>SUM(L13:L24)</f>
        <v>0</v>
      </c>
      <c r="D16" s="42">
        <f>SUM(Q13:Q24)</f>
        <v>0</v>
      </c>
      <c r="F16" s="64"/>
      <c r="G16" s="64"/>
      <c r="H16" s="64"/>
      <c r="I16" s="64"/>
      <c r="J16" s="31"/>
      <c r="K16" s="64"/>
      <c r="L16" s="64"/>
      <c r="M16" s="64"/>
      <c r="N16" s="64"/>
      <c r="O16" s="31"/>
      <c r="P16" s="64"/>
      <c r="Q16" s="64"/>
      <c r="R16" s="64"/>
      <c r="S16" s="64"/>
    </row>
    <row r="17" ht="17.6" spans="1:19">
      <c r="A17" s="126" t="s">
        <v>36</v>
      </c>
      <c r="B17" s="42">
        <f>SUM(G13:G24)</f>
        <v>0</v>
      </c>
      <c r="C17" s="42">
        <f>SUM(L13:L24)</f>
        <v>0</v>
      </c>
      <c r="D17" s="42">
        <f>SUM(Q13:Q24)</f>
        <v>0</v>
      </c>
      <c r="F17" s="64"/>
      <c r="G17" s="64"/>
      <c r="H17" s="64"/>
      <c r="I17" s="64"/>
      <c r="J17" s="31"/>
      <c r="K17" s="64"/>
      <c r="L17" s="64"/>
      <c r="M17" s="64"/>
      <c r="N17" s="64"/>
      <c r="O17" s="31"/>
      <c r="P17" s="64"/>
      <c r="Q17" s="64"/>
      <c r="R17" s="64"/>
      <c r="S17" s="64"/>
    </row>
    <row r="18" ht="17.6" spans="1:19">
      <c r="A18" s="126" t="s">
        <v>37</v>
      </c>
      <c r="B18" s="42">
        <f>SUM(G13:G24)</f>
        <v>0</v>
      </c>
      <c r="C18" s="42">
        <f>SUM(L13:L24)</f>
        <v>0</v>
      </c>
      <c r="D18" s="42">
        <f>SUM(Q13:Q24)</f>
        <v>0</v>
      </c>
      <c r="F18" s="64"/>
      <c r="G18" s="64"/>
      <c r="H18" s="64"/>
      <c r="I18" s="64"/>
      <c r="J18" s="31"/>
      <c r="K18" s="64"/>
      <c r="L18" s="64"/>
      <c r="M18" s="64"/>
      <c r="N18" s="64"/>
      <c r="O18" s="31"/>
      <c r="P18" s="64"/>
      <c r="Q18" s="64"/>
      <c r="R18" s="64"/>
      <c r="S18" s="64"/>
    </row>
    <row r="19" ht="17.6" spans="1:19">
      <c r="A19" s="126" t="s">
        <v>38</v>
      </c>
      <c r="B19" s="42">
        <f>SUM(G13:G24)</f>
        <v>0</v>
      </c>
      <c r="C19" s="42">
        <f>SUM(L13:L24)</f>
        <v>0</v>
      </c>
      <c r="D19" s="42">
        <f>SUM(Q13:Q24)</f>
        <v>0</v>
      </c>
      <c r="F19" s="64"/>
      <c r="G19" s="64"/>
      <c r="H19" s="64"/>
      <c r="I19" s="64"/>
      <c r="J19" s="31"/>
      <c r="K19" s="64"/>
      <c r="L19" s="64"/>
      <c r="M19" s="64"/>
      <c r="N19" s="64"/>
      <c r="O19" s="31"/>
      <c r="P19" s="64"/>
      <c r="Q19" s="64"/>
      <c r="R19" s="64"/>
      <c r="S19" s="64"/>
    </row>
    <row r="20" ht="17.6" spans="1:19">
      <c r="A20" s="126" t="s">
        <v>39</v>
      </c>
      <c r="B20" s="42">
        <f>SUM(G13:G24)</f>
        <v>0</v>
      </c>
      <c r="C20" s="42">
        <f>SUM(L13:L24)</f>
        <v>0</v>
      </c>
      <c r="D20" s="42">
        <f>SUM(Q13:Q24)</f>
        <v>0</v>
      </c>
      <c r="F20" s="64"/>
      <c r="G20" s="64"/>
      <c r="H20" s="64"/>
      <c r="I20" s="64"/>
      <c r="J20" s="31"/>
      <c r="K20" s="64"/>
      <c r="L20" s="64"/>
      <c r="M20" s="64"/>
      <c r="N20" s="64"/>
      <c r="O20" s="31"/>
      <c r="P20" s="64"/>
      <c r="Q20" s="64"/>
      <c r="R20" s="64"/>
      <c r="S20" s="64"/>
    </row>
    <row r="21" ht="17.6" spans="1:19">
      <c r="A21" s="126" t="s">
        <v>40</v>
      </c>
      <c r="B21" s="42">
        <f>SUM(G13:G24)</f>
        <v>0</v>
      </c>
      <c r="C21" s="42">
        <f>SUM(L13:L24)</f>
        <v>0</v>
      </c>
      <c r="D21" s="42">
        <f>SUM(Q13:Q24)</f>
        <v>0</v>
      </c>
      <c r="F21" s="64"/>
      <c r="G21" s="64"/>
      <c r="H21" s="64"/>
      <c r="I21" s="64"/>
      <c r="J21" s="31"/>
      <c r="K21" s="64"/>
      <c r="L21" s="64"/>
      <c r="M21" s="64"/>
      <c r="N21" s="64"/>
      <c r="O21" s="31"/>
      <c r="P21" s="64"/>
      <c r="Q21" s="64"/>
      <c r="R21" s="64"/>
      <c r="S21" s="64"/>
    </row>
    <row r="22" ht="17.6" spans="1:19">
      <c r="A22" s="126" t="s">
        <v>41</v>
      </c>
      <c r="B22" s="42">
        <f>SUM(G13:G24)</f>
        <v>0</v>
      </c>
      <c r="C22" s="42">
        <f>SUM(L13:L24)</f>
        <v>0</v>
      </c>
      <c r="D22" s="42">
        <f>SUM(Q13:Q24)</f>
        <v>0</v>
      </c>
      <c r="F22" s="64"/>
      <c r="G22" s="64"/>
      <c r="H22" s="64"/>
      <c r="I22" s="64"/>
      <c r="J22" s="31"/>
      <c r="K22" s="64"/>
      <c r="L22" s="64"/>
      <c r="M22" s="64"/>
      <c r="N22" s="64"/>
      <c r="O22" s="31"/>
      <c r="P22" s="64"/>
      <c r="Q22" s="64"/>
      <c r="R22" s="64"/>
      <c r="S22" s="64"/>
    </row>
    <row r="23" ht="17.6" spans="1:19">
      <c r="A23" s="126" t="s">
        <v>42</v>
      </c>
      <c r="B23" s="42">
        <f>SUM(I13:I24)</f>
        <v>0</v>
      </c>
      <c r="C23" s="42">
        <f>SUM(N13:N24)</f>
        <v>0</v>
      </c>
      <c r="D23" s="42">
        <f>SUM(S13:S24)</f>
        <v>0</v>
      </c>
      <c r="F23" s="64"/>
      <c r="G23" s="64"/>
      <c r="H23" s="64"/>
      <c r="I23" s="64"/>
      <c r="J23" s="31"/>
      <c r="K23" s="64"/>
      <c r="L23" s="64"/>
      <c r="M23" s="64"/>
      <c r="N23" s="64"/>
      <c r="O23" s="31"/>
      <c r="P23" s="64"/>
      <c r="Q23" s="64"/>
      <c r="R23" s="64"/>
      <c r="S23" s="64"/>
    </row>
    <row r="24" ht="17.6" spans="1:19">
      <c r="A24" s="125" t="s">
        <v>43</v>
      </c>
      <c r="B24" s="42">
        <f>SUM(G13:G24)</f>
        <v>0</v>
      </c>
      <c r="C24" s="42">
        <f>SUM(L13:L24)</f>
        <v>0</v>
      </c>
      <c r="D24" s="42">
        <f>SUM(Q13:Q24)</f>
        <v>0</v>
      </c>
      <c r="F24" s="64"/>
      <c r="G24" s="64"/>
      <c r="H24" s="64"/>
      <c r="I24" s="64"/>
      <c r="J24" s="31"/>
      <c r="K24" s="64"/>
      <c r="L24" s="64"/>
      <c r="M24" s="64"/>
      <c r="N24" s="64"/>
      <c r="O24" s="31"/>
      <c r="P24" s="64"/>
      <c r="Q24" s="64"/>
      <c r="R24" s="64"/>
      <c r="S24" s="64"/>
    </row>
    <row r="25" ht="17.6" spans="1:19">
      <c r="A25" s="127" t="s">
        <v>44</v>
      </c>
      <c r="B25" s="42">
        <f>SUM(G13:G24)</f>
        <v>0</v>
      </c>
      <c r="C25" s="42">
        <f>SUM(L13:L24)</f>
        <v>0</v>
      </c>
      <c r="D25" s="42">
        <f>SUM(Q13:Q24)</f>
        <v>0</v>
      </c>
    </row>
    <row r="26" ht="17.6" spans="1:19">
      <c r="A26" s="128" t="s">
        <v>49</v>
      </c>
      <c r="B26" s="42">
        <f>SUM(G13:G24)</f>
        <v>0</v>
      </c>
      <c r="C26" s="42">
        <f>SUM(L13:L24)</f>
        <v>0</v>
      </c>
      <c r="D26" s="42">
        <f>SUM(Q13:Q24)</f>
        <v>0</v>
      </c>
    </row>
    <row r="27" ht="17.6" spans="1:19">
      <c r="A27" s="129"/>
      <c r="B27" s="42">
        <f>SUM(G13:G24)</f>
        <v>0</v>
      </c>
      <c r="C27" s="42">
        <f>SUM(L13:L24)</f>
        <v>0</v>
      </c>
      <c r="D27" s="42">
        <f>SUM(Q13:Q24)</f>
        <v>0</v>
      </c>
    </row>
    <row r="28" ht="17.6" spans="1:19">
      <c r="A28" s="130"/>
      <c r="B28" s="42">
        <f>SUM(G13:G24)</f>
        <v>0</v>
      </c>
      <c r="C28" s="42">
        <f>SUM(L13:L24)</f>
        <v>0</v>
      </c>
      <c r="D28" s="42">
        <f>SUM(Q13:Q24)</f>
        <v>0</v>
      </c>
    </row>
    <row r="29" ht="17.6" spans="1:19">
      <c r="A29" s="130"/>
      <c r="B29" s="42">
        <f>SUM(G13:G24)</f>
        <v>0</v>
      </c>
      <c r="C29" s="42">
        <f>SUM(L13:L24)</f>
        <v>0</v>
      </c>
      <c r="D29" s="42">
        <f>SUM(Q13:Q24)</f>
        <v>0</v>
      </c>
    </row>
    <row r="30" ht="17.6" spans="1:19">
      <c r="A30" s="130"/>
      <c r="B30" s="42">
        <f>SUM(G13:G24)</f>
        <v>0</v>
      </c>
      <c r="C30" s="42">
        <f>SUM(L13:L24)</f>
        <v>0</v>
      </c>
      <c r="D30" s="42">
        <f>SUM(Q13:Q24)</f>
        <v>0</v>
      </c>
    </row>
    <row r="31" ht="18.35" spans="1:19">
      <c r="A31" s="130"/>
      <c r="B31" s="112">
        <f>SUM(G13:G24)</f>
        <v>0</v>
      </c>
      <c r="C31" s="112">
        <f>SUM(L13:L24)</f>
        <v>0</v>
      </c>
      <c r="D31" s="112">
        <f>SUM(Q13:Q24)</f>
        <v>0</v>
      </c>
    </row>
    <row r="32" ht="21.15" spans="1:19">
      <c r="A32" s="131" t="s">
        <v>45</v>
      </c>
      <c r="B32" s="132">
        <f>SUM(B13:B31)</f>
        <v>0</v>
      </c>
      <c r="C32" s="132">
        <f>SUM(C13:C31)</f>
        <v>0</v>
      </c>
      <c r="D32" s="132">
        <f>SUM(D13:D31)</f>
        <v>0</v>
      </c>
    </row>
    <row r="34" ht="17.6" spans="1:4">
      <c r="B34" s="133" t="s">
        <v>6</v>
      </c>
      <c r="C34" s="86" t="s">
        <v>7</v>
      </c>
      <c r="D34" s="86" t="s">
        <v>8</v>
      </c>
    </row>
    <row r="35" ht="17.6" spans="1:4">
      <c r="A35" s="134"/>
      <c r="B35" s="35"/>
      <c r="C35" s="93">
        <f>SUM(B32:D32)</f>
        <v>0</v>
      </c>
      <c r="D35" s="64" t="str">
        <f>IF(OR(B35="",C35=""),"",IFERROR(VLOOKUP(B35,'SENARAI PLAK'!$A$2:$B$159,2,FALSE)*C35,""))</f>
        <v/>
      </c>
    </row>
  </sheetData>
  <mergeCells count="12">
    <mergeCell ref="B1:D1"/>
    <mergeCell ref="B2:D2"/>
    <mergeCell ref="B3:D3"/>
    <mergeCell ref="B4:D4"/>
    <mergeCell ref="B5:D5"/>
    <mergeCell ref="B7:D7"/>
    <mergeCell ref="A10:D10"/>
    <mergeCell ref="B11:D11"/>
    <mergeCell ref="F11:I11"/>
    <mergeCell ref="K11:N11"/>
    <mergeCell ref="P11:S11"/>
    <mergeCell ref="A11:A12"/>
  </mergeCells>
  <conditionalFormatting sqref="D35">
    <cfRule type="expression" dxfId="0" priority="100">
      <formula>AND($B35&lt;&gt;"",$D35&lt;&gt;"",IFERROR($D35&lt;&gt;VLOOKUP($B35,'SENARAI PLAK'!$A$2:$B$159,2,FALSE)*$C35,FALSE))</formula>
    </cfRule>
  </conditionalFormatting>
  <dataValidations count="1">
    <dataValidation type="list" allowBlank="1" showErrorMessage="1" errorTitle="JENIS PLAK" error="Pilih Jenis Plak dari senarai." sqref="B35">
      <formula1>'SENARAI PLAK'!$A$2:$A$159</formula1>
    </dataValidation>
  </dataValidations>
  <pageMargins left="0.393055555555556" right="0.196527777777778" top="0.409722222222222" bottom="0.429861111111111" header="0.511805555555556" footer="0.511805555555556"/>
  <pageSetup paperSize="9" scale="95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43"/>
  <sheetViews>
    <sheetView zoomScale="69" zoomScaleNormal="69" topLeftCell="A2" workbookViewId="0">
      <selection activeCell="L5" sqref="L5"/>
    </sheetView>
  </sheetViews>
  <sheetFormatPr defaultColWidth="9.140625" defaultRowHeight="31.5" customHeight="1"/>
  <cols>
    <col min="1" max="1" width="12.140625" style="31" customWidth="1"/>
    <col min="2" max="2" width="12.859375" style="31" customWidth="1"/>
    <col min="3" max="4" width="11" style="31" customWidth="1"/>
    <col min="5" max="5" width="9.5703125" style="31" customWidth="1"/>
    <col min="6" max="6" width="14.5703125" style="31" customWidth="1"/>
    <col min="7" max="7" width="9.859375" style="31" customWidth="1"/>
    <col min="8" max="8" width="9.140625" style="31" customWidth="1"/>
    <col min="9" max="9" width="13.5703125" style="31" customWidth="1"/>
    <col min="10" max="11" width="9.140625" style="31" customWidth="1"/>
    <col min="12" max="12" width="13.5703125" style="31" customWidth="1"/>
    <col min="13" max="13" width="9.8125" style="31" customWidth="1"/>
    <col min="14" max="14" width="9.140625" style="31" customWidth="1"/>
    <col min="15" max="15" width="13.5703125" style="31" customWidth="1"/>
    <col min="16" max="17" width="9.140625" style="31" customWidth="1"/>
    <col min="18" max="18" width="13.5703125" style="31" customWidth="1"/>
    <col min="19" max="20" width="9.140625" style="31" customWidth="1"/>
    <col min="21" max="21" width="13.5703125" style="31" customWidth="1"/>
    <col min="22" max="16384" width="9.140625" style="31" customWidth="1"/>
  </cols>
  <sheetData>
    <row r="2" s="37" customFormat="1" ht="17.6"/>
    <row r="3" s="37" customFormat="1" ht="26" spans="1:22">
      <c r="F3" s="32" t="s">
        <v>12</v>
      </c>
    </row>
    <row r="4" s="37" customFormat="1" ht="62" customHeight="1" spans="1:22">
      <c r="A4" s="33"/>
      <c r="B4" s="33"/>
      <c r="C4" s="33"/>
      <c r="F4" s="38"/>
      <c r="G4" s="50"/>
      <c r="H4" s="50"/>
      <c r="I4" s="51"/>
      <c r="K4" s="36"/>
    </row>
    <row r="5" s="37" customFormat="1" ht="37" customHeight="1" spans="1:22">
      <c r="F5" s="38"/>
      <c r="G5" s="50"/>
      <c r="H5" s="50"/>
      <c r="I5" s="51"/>
    </row>
    <row r="6" ht="33" customHeight="1" spans="1:22">
      <c r="A6" s="37"/>
      <c r="B6" s="37"/>
      <c r="C6" s="37"/>
      <c r="D6" s="37"/>
      <c r="F6" s="38"/>
      <c r="G6" s="50"/>
      <c r="H6" s="50"/>
      <c r="I6" s="51"/>
    </row>
    <row r="7" ht="17.6" spans="1:22">
      <c r="A7" s="37"/>
      <c r="B7" s="37"/>
      <c r="C7" s="37"/>
      <c r="D7" s="37"/>
      <c r="F7" s="38"/>
      <c r="G7" s="50"/>
      <c r="H7" s="50"/>
      <c r="I7" s="51"/>
    </row>
    <row r="8" ht="40" customHeight="1"/>
    <row r="9" ht="17.6" spans="1:22">
      <c r="A9" s="42" t="s">
        <v>62</v>
      </c>
      <c r="B9" s="42" t="s">
        <v>15</v>
      </c>
      <c r="C9" s="97"/>
      <c r="D9" s="98"/>
      <c r="F9" s="75" t="s">
        <v>46</v>
      </c>
      <c r="G9" s="73"/>
      <c r="I9" s="75" t="s">
        <v>47</v>
      </c>
      <c r="J9" s="73"/>
      <c r="L9" s="75" t="s">
        <v>48</v>
      </c>
      <c r="M9" s="73"/>
      <c r="O9" s="75" t="s">
        <v>53</v>
      </c>
      <c r="P9" s="73"/>
      <c r="R9" s="75" t="s">
        <v>54</v>
      </c>
      <c r="S9" s="73"/>
      <c r="U9" s="75" t="s">
        <v>55</v>
      </c>
      <c r="V9" s="73"/>
    </row>
    <row r="10" ht="17.6" spans="1:22">
      <c r="A10" s="42" t="s">
        <v>46</v>
      </c>
      <c r="B10" s="99">
        <f>SUM(G11:G26)</f>
        <v>0</v>
      </c>
      <c r="C10" s="100"/>
      <c r="D10" s="101"/>
      <c r="F10" s="78" t="s">
        <v>63</v>
      </c>
      <c r="G10" s="102" t="s">
        <v>7</v>
      </c>
      <c r="I10" s="78" t="s">
        <v>63</v>
      </c>
      <c r="J10" s="102" t="s">
        <v>7</v>
      </c>
      <c r="L10" s="78" t="s">
        <v>63</v>
      </c>
      <c r="M10" s="102" t="s">
        <v>7</v>
      </c>
      <c r="O10" s="78" t="s">
        <v>63</v>
      </c>
      <c r="P10" s="102" t="s">
        <v>7</v>
      </c>
      <c r="R10" s="78" t="s">
        <v>63</v>
      </c>
      <c r="S10" s="102" t="s">
        <v>7</v>
      </c>
      <c r="U10" s="78" t="s">
        <v>63</v>
      </c>
      <c r="V10" s="102" t="s">
        <v>7</v>
      </c>
    </row>
    <row r="11" ht="17.6" spans="1:22">
      <c r="A11" s="42" t="s">
        <v>47</v>
      </c>
      <c r="B11" s="48">
        <f>SUM(J11:J26)</f>
        <v>0</v>
      </c>
      <c r="C11" s="100"/>
      <c r="D11" s="103"/>
      <c r="F11" s="82"/>
      <c r="G11" s="44"/>
      <c r="I11" s="82"/>
      <c r="J11" s="44"/>
      <c r="L11" s="82"/>
      <c r="M11" s="44"/>
      <c r="O11" s="82"/>
      <c r="P11" s="44"/>
      <c r="R11" s="82"/>
      <c r="S11" s="44"/>
      <c r="U11" s="82"/>
      <c r="V11" s="44"/>
    </row>
    <row r="12" ht="17.6" spans="1:22">
      <c r="A12" s="42" t="s">
        <v>48</v>
      </c>
      <c r="B12" s="48">
        <f>SUM(M11:M26)</f>
        <v>0</v>
      </c>
      <c r="C12" s="100"/>
      <c r="D12" s="103"/>
      <c r="F12" s="82"/>
      <c r="G12" s="44"/>
      <c r="I12" s="82"/>
      <c r="J12" s="44"/>
      <c r="L12" s="82"/>
      <c r="M12" s="44"/>
      <c r="O12" s="82"/>
      <c r="P12" s="44"/>
      <c r="R12" s="82"/>
      <c r="S12" s="44"/>
      <c r="U12" s="82"/>
      <c r="V12" s="44"/>
    </row>
    <row r="13" ht="17.6" spans="1:22">
      <c r="A13" s="42" t="s">
        <v>53</v>
      </c>
      <c r="B13" s="48">
        <f>SUM(P11:P26)</f>
        <v>0</v>
      </c>
      <c r="C13" s="100"/>
      <c r="D13" s="103"/>
      <c r="F13" s="82"/>
      <c r="G13" s="44"/>
      <c r="I13" s="82"/>
      <c r="J13" s="44"/>
      <c r="L13" s="82"/>
      <c r="M13" s="44"/>
      <c r="O13" s="82"/>
      <c r="P13" s="44"/>
      <c r="R13" s="82"/>
      <c r="S13" s="44"/>
      <c r="U13" s="82"/>
      <c r="V13" s="44"/>
    </row>
    <row r="14" ht="17.6" spans="1:22">
      <c r="A14" s="42" t="s">
        <v>54</v>
      </c>
      <c r="B14" s="48">
        <f>SUM(S11:S26)</f>
        <v>0</v>
      </c>
      <c r="C14" s="100"/>
      <c r="D14" s="103"/>
      <c r="F14" s="82"/>
      <c r="G14" s="44"/>
      <c r="I14" s="82"/>
      <c r="J14" s="44"/>
      <c r="L14" s="82"/>
      <c r="M14" s="44"/>
      <c r="O14" s="82"/>
      <c r="P14" s="44"/>
      <c r="R14" s="82"/>
      <c r="S14" s="44"/>
      <c r="U14" s="82"/>
      <c r="V14" s="44"/>
    </row>
    <row r="15" ht="17.6" spans="1:22">
      <c r="A15" s="104" t="s">
        <v>55</v>
      </c>
      <c r="B15" s="105">
        <f>SUM(V11:V26)</f>
        <v>0</v>
      </c>
      <c r="C15" s="106"/>
      <c r="D15" s="107"/>
      <c r="F15" s="82"/>
      <c r="G15" s="44"/>
      <c r="I15" s="82"/>
      <c r="J15" s="44"/>
      <c r="L15" s="82"/>
      <c r="M15" s="44"/>
      <c r="O15" s="82"/>
      <c r="P15" s="44"/>
      <c r="R15" s="82"/>
      <c r="S15" s="44"/>
      <c r="U15" s="82"/>
      <c r="V15" s="44"/>
    </row>
    <row r="16" ht="17.6" spans="1:22">
      <c r="A16" s="75"/>
      <c r="B16" s="75"/>
      <c r="C16" s="108"/>
      <c r="D16" s="73"/>
      <c r="F16" s="82"/>
      <c r="G16" s="44"/>
      <c r="I16" s="82"/>
      <c r="J16" s="44"/>
      <c r="L16" s="82"/>
      <c r="M16" s="44"/>
      <c r="O16" s="82"/>
      <c r="P16" s="44"/>
      <c r="R16" s="82"/>
      <c r="S16" s="44"/>
      <c r="U16" s="82"/>
      <c r="V16" s="44"/>
    </row>
    <row r="17" ht="17.6" spans="1:22">
      <c r="A17" s="109"/>
      <c r="B17" s="109"/>
      <c r="C17" s="110"/>
      <c r="D17" s="111"/>
      <c r="F17" s="82"/>
      <c r="G17" s="44"/>
      <c r="I17" s="82"/>
      <c r="J17" s="44"/>
      <c r="L17" s="82"/>
      <c r="M17" s="44"/>
      <c r="O17" s="82"/>
      <c r="P17" s="44"/>
      <c r="R17" s="82"/>
      <c r="S17" s="44"/>
      <c r="U17" s="82"/>
      <c r="V17" s="44"/>
    </row>
    <row r="18" ht="18.35" spans="1:22">
      <c r="A18" s="112"/>
      <c r="B18" s="112"/>
      <c r="C18" s="113"/>
      <c r="D18" s="114"/>
      <c r="F18" s="82"/>
      <c r="G18" s="44"/>
      <c r="I18" s="82"/>
      <c r="J18" s="44"/>
      <c r="L18" s="82"/>
      <c r="M18" s="44"/>
      <c r="O18" s="82"/>
      <c r="P18" s="44"/>
      <c r="R18" s="82"/>
      <c r="S18" s="44"/>
      <c r="U18" s="82"/>
      <c r="V18" s="44"/>
    </row>
    <row r="19" ht="18.35" spans="1:22">
      <c r="A19" s="85" t="s">
        <v>45</v>
      </c>
      <c r="B19" s="115">
        <f>SUM(B10:D18)</f>
        <v>0</v>
      </c>
      <c r="C19" s="116"/>
      <c r="D19" s="117"/>
      <c r="F19" s="82"/>
      <c r="G19" s="44"/>
      <c r="I19" s="82"/>
      <c r="J19" s="44"/>
      <c r="L19" s="82"/>
      <c r="M19" s="44"/>
      <c r="O19" s="82"/>
      <c r="P19" s="44"/>
      <c r="R19" s="82"/>
      <c r="S19" s="44"/>
      <c r="U19" s="82"/>
      <c r="V19" s="44"/>
    </row>
    <row r="20" ht="17.6" spans="1:22">
      <c r="F20" s="82"/>
      <c r="G20" s="44"/>
      <c r="I20" s="82"/>
      <c r="J20" s="44"/>
      <c r="L20" s="82"/>
      <c r="M20" s="44"/>
      <c r="O20" s="82"/>
      <c r="P20" s="44"/>
      <c r="R20" s="82"/>
      <c r="S20" s="44"/>
      <c r="U20" s="82"/>
      <c r="V20" s="44"/>
    </row>
    <row r="21" ht="17.6" spans="1:22">
      <c r="B21" s="118" t="s">
        <v>6</v>
      </c>
      <c r="C21" s="119" t="s">
        <v>7</v>
      </c>
      <c r="D21" s="119" t="s">
        <v>8</v>
      </c>
      <c r="F21" s="82"/>
      <c r="G21" s="44"/>
      <c r="I21" s="82"/>
      <c r="J21" s="44"/>
      <c r="L21" s="82"/>
      <c r="M21" s="44"/>
      <c r="O21" s="82"/>
      <c r="P21" s="44"/>
      <c r="R21" s="82"/>
      <c r="S21" s="44"/>
      <c r="U21" s="82"/>
      <c r="V21" s="44"/>
    </row>
    <row r="22" s="37" customFormat="1" ht="17.6" spans="1:22">
      <c r="A22" s="31"/>
      <c r="B22" s="53"/>
      <c r="C22" s="44"/>
      <c r="D22" s="44" t="str">
        <f>IF(OR(B22="",C22=""),"",IFERROR(VLOOKUP(B22,'SENARAI PLAK'!$A$2:$B$159,2,FALSE)*C22,""))</f>
        <v/>
      </c>
      <c r="E22" s="31"/>
      <c r="F22" s="82"/>
      <c r="G22" s="44"/>
      <c r="H22" s="31"/>
      <c r="I22" s="82"/>
      <c r="J22" s="44"/>
      <c r="L22" s="82"/>
      <c r="M22" s="44"/>
      <c r="O22" s="82"/>
      <c r="P22" s="44"/>
      <c r="R22" s="82"/>
      <c r="S22" s="44"/>
      <c r="U22" s="82"/>
      <c r="V22" s="44"/>
    </row>
    <row r="23" s="37" customFormat="1" ht="17.6" spans="1:22">
      <c r="A23" s="31"/>
      <c r="B23" s="41"/>
      <c r="C23" s="42"/>
      <c r="D23" s="42"/>
      <c r="E23" s="31"/>
      <c r="F23" s="82"/>
      <c r="G23" s="44"/>
      <c r="H23" s="31"/>
      <c r="I23" s="82"/>
      <c r="J23" s="44"/>
      <c r="L23" s="82"/>
      <c r="M23" s="44"/>
      <c r="O23" s="82"/>
      <c r="P23" s="44"/>
      <c r="R23" s="82"/>
      <c r="S23" s="44"/>
      <c r="U23" s="82"/>
      <c r="V23" s="44"/>
    </row>
    <row r="24" s="37" customFormat="1" ht="17.6" spans="1:22">
      <c r="A24" s="31"/>
      <c r="B24" s="41"/>
      <c r="C24" s="42"/>
      <c r="D24" s="42"/>
      <c r="E24" s="31"/>
      <c r="F24" s="82"/>
      <c r="G24" s="44"/>
      <c r="H24" s="31"/>
      <c r="I24" s="82"/>
      <c r="J24" s="44"/>
      <c r="L24" s="82"/>
      <c r="M24" s="44"/>
      <c r="O24" s="82"/>
      <c r="P24" s="44"/>
      <c r="R24" s="82"/>
      <c r="S24" s="44"/>
      <c r="U24" s="82"/>
      <c r="V24" s="44"/>
    </row>
    <row r="25" s="37" customFormat="1" ht="17.6" spans="1:22">
      <c r="A25" s="31"/>
      <c r="B25" s="31"/>
      <c r="C25" s="31"/>
      <c r="D25" s="31"/>
      <c r="E25" s="31"/>
      <c r="F25" s="82"/>
      <c r="G25" s="44"/>
      <c r="I25" s="82"/>
      <c r="J25" s="44"/>
      <c r="L25" s="82"/>
      <c r="M25" s="44"/>
      <c r="O25" s="82"/>
      <c r="P25" s="44"/>
      <c r="R25" s="82"/>
      <c r="S25" s="44"/>
      <c r="U25" s="82"/>
      <c r="V25" s="44"/>
    </row>
    <row r="26" s="37" customFormat="1" ht="17.6" spans="1:22">
      <c r="F26" s="82"/>
      <c r="G26" s="44"/>
      <c r="I26" s="82"/>
      <c r="J26" s="44"/>
      <c r="L26" s="82"/>
      <c r="M26" s="44"/>
      <c r="O26" s="82"/>
      <c r="P26" s="44"/>
      <c r="R26" s="82"/>
      <c r="S26" s="44"/>
      <c r="U26" s="82"/>
      <c r="V26" s="44"/>
    </row>
    <row r="27" s="37" customFormat="1" ht="17.6"/>
    <row r="28" s="37" customFormat="1" ht="17.6"/>
    <row r="29" s="37" customFormat="1" ht="17.6"/>
    <row r="30" s="37" customFormat="1" ht="17.6"/>
    <row r="41" s="37" customFormat="1" ht="17.6"/>
    <row r="42" s="37" customFormat="1" ht="17.6"/>
    <row r="43" s="37" customFormat="1" ht="17.6" spans="1:5">
      <c r="A43" s="31"/>
      <c r="B43" s="31"/>
      <c r="C43" s="31"/>
      <c r="D43" s="31"/>
      <c r="E43" s="31"/>
    </row>
  </sheetData>
  <mergeCells count="23">
    <mergeCell ref="F3:I3"/>
    <mergeCell ref="F4:I4"/>
    <mergeCell ref="K4:P4"/>
    <mergeCell ref="F5:I5"/>
    <mergeCell ref="F6:I6"/>
    <mergeCell ref="F7:I7"/>
    <mergeCell ref="B9:D9"/>
    <mergeCell ref="F9:G9"/>
    <mergeCell ref="I9:J9"/>
    <mergeCell ref="L9:M9"/>
    <mergeCell ref="O9:P9"/>
    <mergeCell ref="R9:S9"/>
    <mergeCell ref="U9:V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</mergeCells>
  <conditionalFormatting sqref="D22">
    <cfRule type="expression" dxfId="0" priority="100">
      <formula>AND($B22&lt;&gt;"",$D22&lt;&gt;"",IFERROR($D22&lt;&gt;VLOOKUP($B22,'SENARAI PLAK'!$A$2:$B$159,2,FALSE)*$C22,FALSE))</formula>
    </cfRule>
  </conditionalFormatting>
  <dataValidations count="1">
    <dataValidation type="list" allowBlank="1" showErrorMessage="1" errorTitle="JENIS PLAK" error="Pilih Jenis Plak dari senarai." sqref="B22">
      <formula1>'SENARAI PLAK'!$A$2:$A$159</formula1>
    </dataValidation>
  </dataValidations>
  <pageMargins left="0.747916666666667" right="0.25" top="0.240277777777778" bottom="0.229861111111111" header="0.511805555555556" footer="0.511805555555556"/>
  <pageSetup paperSize="9" scale="90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X26"/>
  <sheetViews>
    <sheetView zoomScale="89" zoomScaleNormal="89" workbookViewId="0">
      <selection activeCell="E16" sqref="E16"/>
    </sheetView>
  </sheetViews>
  <sheetFormatPr defaultColWidth="9" defaultRowHeight="16.8"/>
  <cols>
    <col min="1" max="1" width="9" style="68" customWidth="1"/>
    <col min="2" max="2" width="24" style="68" customWidth="1"/>
    <col min="3" max="3" width="16" style="68" customWidth="1"/>
    <col min="4" max="4" width="16.5703125" style="68" customWidth="1"/>
    <col min="5" max="5" width="12.7109375" style="68" customWidth="1"/>
    <col min="6" max="6" width="11.140625" style="68" customWidth="1"/>
    <col min="7" max="9" width="9" style="68" customWidth="1"/>
    <col min="10" max="10" width="17.1171875" style="68" customWidth="1"/>
    <col min="11" max="11" width="17.84375" style="68" customWidth="1"/>
    <col min="12" max="12" width="35.9296875" style="68" customWidth="1"/>
    <col min="13" max="16384" width="9" style="68" customWidth="1"/>
  </cols>
  <sheetData>
    <row r="1" s="68" customFormat="1" ht="26" customHeight="1" spans="1:10 1402:1402">
      <c r="A1" s="37"/>
      <c r="B1" s="37"/>
      <c r="C1" s="37"/>
      <c r="E1" s="32" t="s">
        <v>12</v>
      </c>
      <c r="BAX1" s="68" t="s">
        <v>64</v>
      </c>
    </row>
    <row r="2" s="68" customFormat="1" ht="48" customHeight="1" spans="1:10 1402:1402">
      <c r="A2" s="33"/>
      <c r="B2" s="33"/>
      <c r="C2" s="33"/>
      <c r="E2" s="69"/>
      <c r="F2" s="35"/>
      <c r="G2" s="35"/>
      <c r="H2" s="35"/>
      <c r="J2" s="36"/>
      <c r="BAX2" s="68" t="s">
        <v>65</v>
      </c>
    </row>
    <row r="3" s="68" customFormat="1" ht="27.6" customHeight="1" spans="1:10 1402:1402">
      <c r="A3" s="37"/>
      <c r="B3" s="37"/>
      <c r="C3" s="37"/>
      <c r="E3" s="64"/>
      <c r="F3" s="70"/>
      <c r="G3" s="70"/>
      <c r="H3" s="35"/>
      <c r="BAX3" s="68" t="s">
        <v>66</v>
      </c>
    </row>
    <row r="4" s="68" customFormat="1" ht="27" customHeight="1" spans="1:10 1402:1402">
      <c r="A4" s="37"/>
      <c r="B4" s="37"/>
      <c r="C4" s="37"/>
      <c r="E4" s="64"/>
      <c r="F4" s="70"/>
      <c r="G4" s="70"/>
      <c r="H4" s="35"/>
      <c r="BAX4" s="68" t="s">
        <v>67</v>
      </c>
    </row>
    <row r="5" s="68" customFormat="1" ht="32.45" customHeight="1" spans="1:10 1402:1402">
      <c r="A5" s="37"/>
      <c r="B5" s="37"/>
      <c r="C5" s="37"/>
      <c r="E5" s="69"/>
      <c r="F5" s="35"/>
      <c r="G5" s="35"/>
      <c r="H5" s="35"/>
      <c r="BAX5" s="68" t="s">
        <v>68</v>
      </c>
    </row>
    <row r="6" s="68" customFormat="1" ht="17.6" customHeight="1" spans="1:10 1402:1402">
      <c r="A6" s="31"/>
      <c r="B6" s="31"/>
      <c r="C6" s="31"/>
      <c r="D6" s="31"/>
      <c r="E6" s="31"/>
      <c r="BAX6" s="68" t="s">
        <v>69</v>
      </c>
    </row>
    <row r="7" s="37" customFormat="1" ht="30" customHeight="1" spans="1:10 1402:1402">
      <c r="A7" s="31"/>
      <c r="B7" s="41" t="s">
        <v>62</v>
      </c>
      <c r="C7" s="72" t="s">
        <v>70</v>
      </c>
      <c r="D7" s="73"/>
      <c r="E7" s="74" t="s">
        <v>45</v>
      </c>
      <c r="BAX7" s="37" t="s">
        <v>71</v>
      </c>
    </row>
    <row r="8" s="37" customFormat="1" ht="30" customHeight="1" spans="1:10 1402:1402">
      <c r="A8" s="31"/>
      <c r="B8" s="76"/>
      <c r="C8" s="72" t="s">
        <v>72</v>
      </c>
      <c r="D8" s="72" t="s">
        <v>73</v>
      </c>
      <c r="E8" s="77"/>
      <c r="BAX8" s="37" t="s">
        <v>74</v>
      </c>
    </row>
    <row r="9" s="37" customFormat="1" ht="30" customHeight="1" spans="1:10 1402:1402">
      <c r="A9" s="31"/>
      <c r="B9" s="41" t="s">
        <v>46</v>
      </c>
      <c r="C9" s="80"/>
      <c r="D9" s="80"/>
      <c r="E9" s="95"/>
      <c r="BAX9" s="37" t="s">
        <v>75</v>
      </c>
    </row>
    <row r="10" s="37" customFormat="1" ht="30" customHeight="1" spans="1:10 1402:1402">
      <c r="A10" s="31"/>
      <c r="B10" s="41" t="s">
        <v>47</v>
      </c>
      <c r="C10" s="80"/>
      <c r="D10" s="80"/>
      <c r="E10" s="95"/>
      <c r="BAX10" s="37" t="s">
        <v>76</v>
      </c>
    </row>
    <row r="11" s="37" customFormat="1" ht="30" customHeight="1" spans="1:10 1402:1402">
      <c r="A11" s="31"/>
      <c r="B11" s="41" t="s">
        <v>48</v>
      </c>
      <c r="C11" s="80"/>
      <c r="D11" s="80"/>
      <c r="E11" s="95"/>
      <c r="BAX11" s="37" t="s">
        <v>77</v>
      </c>
    </row>
    <row r="12" s="37" customFormat="1" ht="30" customHeight="1" spans="1:10 1402:1402">
      <c r="A12" s="31"/>
      <c r="B12" s="41" t="s">
        <v>53</v>
      </c>
      <c r="C12" s="80"/>
      <c r="D12" s="80"/>
      <c r="E12" s="95" t="str">
        <f>IFERROR(MATCH(D12,$BAX$1:$BAX$10,0)-MATCH(C12,$BAX$1:$BAX$10,0)+1,"")</f>
        <v/>
      </c>
      <c r="BAX12" s="37" t="s">
        <v>78</v>
      </c>
    </row>
    <row r="13" s="37" customFormat="1" ht="30" customHeight="1" spans="1:10 1402:1402">
      <c r="A13" s="31"/>
      <c r="B13" s="41" t="s">
        <v>54</v>
      </c>
      <c r="C13" s="80"/>
      <c r="D13" s="80"/>
      <c r="E13" s="95" t="str">
        <f>IFERROR(MATCH(D13,$BAX$1:$BAX$10,0)-MATCH(C13,$BAX$1:$BAX$10,0)+1,"")</f>
        <v/>
      </c>
      <c r="BAX13" s="37" t="s">
        <v>79</v>
      </c>
    </row>
    <row r="14" s="37" customFormat="1" ht="30" customHeight="1" spans="1:10 1402:1402">
      <c r="A14" s="31"/>
      <c r="B14" s="83" t="s">
        <v>55</v>
      </c>
      <c r="C14" s="80"/>
      <c r="D14" s="80"/>
      <c r="E14" s="95"/>
      <c r="BAX14" s="37" t="s">
        <v>80</v>
      </c>
    </row>
    <row r="15" s="37" customFormat="1" ht="30" customHeight="1" spans="1:10 1402:1402">
      <c r="A15" s="31"/>
      <c r="B15" s="83"/>
      <c r="C15" s="80"/>
      <c r="D15" s="80"/>
      <c r="E15" s="95"/>
      <c r="BAX15" s="37" t="s">
        <v>81</v>
      </c>
    </row>
    <row r="16" s="37" customFormat="1" ht="30" customHeight="1" spans="1:10 1402:1402">
      <c r="A16" s="31"/>
      <c r="B16" s="83"/>
      <c r="C16" s="80"/>
      <c r="D16" s="80"/>
      <c r="E16" s="95"/>
      <c r="BAX16" s="37" t="s">
        <v>82</v>
      </c>
    </row>
    <row r="17" s="37" customFormat="1" ht="30" customHeight="1" spans="1:6 1402:1402">
      <c r="A17" s="31"/>
      <c r="B17" s="84"/>
      <c r="C17" s="80"/>
      <c r="D17" s="80"/>
      <c r="E17" s="95" t="str">
        <f>IFERROR(MATCH(D17,$BAX$1:$BAX$10,0)-MATCH(C17,$BAX$1:$BAX$10,0)+1,"")</f>
        <v/>
      </c>
      <c r="BAX17" s="37" t="s">
        <v>83</v>
      </c>
    </row>
    <row r="18" s="37" customFormat="1" ht="30" customHeight="1" spans="1:6 1402:1402">
      <c r="A18" s="31"/>
      <c r="B18" s="85" t="s">
        <v>58</v>
      </c>
      <c r="C18" s="86"/>
      <c r="D18" s="75"/>
      <c r="E18" s="87">
        <f>SUM(E9:E17)</f>
        <v>0</v>
      </c>
      <c r="BAX18" s="37" t="s">
        <v>84</v>
      </c>
    </row>
    <row r="19" s="37" customFormat="1" ht="30" customHeight="1" spans="1:6 1402:1402">
      <c r="B19" s="31"/>
      <c r="C19" s="31"/>
      <c r="D19" s="31"/>
      <c r="E19" s="31"/>
      <c r="BAX19" s="37" t="s">
        <v>85</v>
      </c>
    </row>
    <row r="20" s="37" customFormat="1" ht="40" customHeight="1" spans="1:6 1402:1402">
      <c r="B20" s="31"/>
      <c r="C20" s="31"/>
      <c r="D20" s="31"/>
      <c r="E20" s="31"/>
      <c r="BAX20" s="37" t="s">
        <v>86</v>
      </c>
    </row>
    <row r="21" s="37" customFormat="1" ht="30" customHeight="1" spans="1:6 1402:1402">
      <c r="B21" s="86" t="s">
        <v>6</v>
      </c>
      <c r="C21" s="86" t="s">
        <v>87</v>
      </c>
      <c r="D21" s="73"/>
      <c r="E21" s="88" t="s">
        <v>7</v>
      </c>
      <c r="F21" s="89" t="s">
        <v>8</v>
      </c>
    </row>
    <row r="22" s="37" customFormat="1" ht="30" customHeight="1" spans="1:6 1402:1402">
      <c r="B22" s="90"/>
      <c r="C22" s="72" t="s">
        <v>72</v>
      </c>
      <c r="D22" s="72" t="s">
        <v>73</v>
      </c>
      <c r="E22" s="91"/>
      <c r="F22" s="91"/>
    </row>
    <row r="23" s="37" customFormat="1" ht="30" customHeight="1" spans="1:6 1402:1402">
      <c r="B23" s="64"/>
      <c r="C23" s="64"/>
      <c r="D23" s="64"/>
      <c r="E23" s="92"/>
      <c r="F23" s="92" t="str">
        <f>IF(OR(B23="",E23=""),"",IFERROR(VLOOKUP(B23,'SENARAI PLAK'!$A$2:$B$159,2,FALSE)*E23,""))</f>
        <v/>
      </c>
    </row>
    <row r="24" s="37" customFormat="1" ht="30" customHeight="1" spans="1:6 1402:1402">
      <c r="B24" s="64"/>
      <c r="C24" s="93" t="str">
        <f t="array" ref="C24">IFERROR(INDEX($BAX$1:$BAX$20,MATCH(D23,$BAX$1:$BAX$20,0)+1),"")</f>
        <v/>
      </c>
      <c r="D24" s="64"/>
      <c r="E24" s="94"/>
      <c r="F24" s="64" t="str">
        <f>IF(OR(B24="",E24=""),"",IFERROR(VLOOKUP(B24,'SENARAI PLAK'!$A$2:$B$159,2,FALSE)*E24,""))</f>
        <v/>
      </c>
    </row>
    <row r="25" s="37" customFormat="1" ht="30" customHeight="1" spans="1:6 1402:1402">
      <c r="B25" s="64"/>
      <c r="C25" s="93" t="str">
        <f t="array" ref="C25">IFERROR(INDEX($BAX$1:$BAX$20,MATCH(D24,$BAX$1:$BAX$20,0)+1),"")</f>
        <v/>
      </c>
      <c r="D25" s="64"/>
      <c r="E25" s="94"/>
      <c r="F25" s="64" t="str">
        <f>IF(OR(B25="",E25=""),"",IFERROR(VLOOKUP(B25,'SENARAI PLAK'!$A$2:$B$159,2,FALSE)*E25,""))</f>
        <v/>
      </c>
    </row>
    <row r="26" s="37" customFormat="1" ht="30" customHeight="1" spans="1:6 1402:1402">
      <c r="B26" s="96"/>
      <c r="C26" s="93" t="str">
        <f t="array" ref="C26">IFERROR(INDEX($BAX$1:$BAX$20,MATCH(D25,$BAX$1:$BAX$20,0)+1),"")</f>
        <v/>
      </c>
      <c r="D26" s="64"/>
      <c r="E26" s="96"/>
      <c r="F26" s="96" t="str">
        <f>IF(OR(B26="",E26=""),"",IFERROR(VLOOKUP(B26,'SENARAI PLAK'!$A$2:$B$159,2,FALSE)*E26,""))</f>
        <v/>
      </c>
    </row>
  </sheetData>
  <mergeCells count="13">
    <mergeCell ref="E1:H1"/>
    <mergeCell ref="E2:H2"/>
    <mergeCell ref="J2:L2"/>
    <mergeCell ref="E3:H3"/>
    <mergeCell ref="E4:H4"/>
    <mergeCell ref="E5:H5"/>
    <mergeCell ref="C7:D7"/>
    <mergeCell ref="C21:D21"/>
    <mergeCell ref="B7:B8"/>
    <mergeCell ref="B21:B22"/>
    <mergeCell ref="E7:E8"/>
    <mergeCell ref="E21:E22"/>
    <mergeCell ref="F21:F22"/>
  </mergeCells>
  <conditionalFormatting sqref="F23">
    <cfRule type="expression" dxfId="0" priority="100">
      <formula>AND($B23&lt;&gt;"",$F23&lt;&gt;"",IFERROR($F23&lt;&gt;VLOOKUP($B23,'SENARAI PLAK'!$A$2:$B$159,2,FALSE)*$E23,FALSE))</formula>
    </cfRule>
  </conditionalFormatting>
  <conditionalFormatting sqref="F24">
    <cfRule type="expression" dxfId="0" priority="101">
      <formula>AND($B24&lt;&gt;"",$F24&lt;&gt;"",IFERROR($F24&lt;&gt;VLOOKUP($B24,'SENARAI PLAK'!$A$2:$B$159,2,FALSE)*$E24,FALSE))</formula>
    </cfRule>
  </conditionalFormatting>
  <conditionalFormatting sqref="F25">
    <cfRule type="expression" dxfId="0" priority="102">
      <formula>AND($B25&lt;&gt;"",$F25&lt;&gt;"",IFERROR($F25&lt;&gt;VLOOKUP($B25,'SENARAI PLAK'!$A$2:$B$159,2,FALSE)*$E25,FALSE))</formula>
    </cfRule>
  </conditionalFormatting>
  <conditionalFormatting sqref="F26">
    <cfRule type="expression" dxfId="0" priority="103">
      <formula>AND($B26&lt;&gt;"",$F26&lt;&gt;"",IFERROR($F26&lt;&gt;VLOOKUP($B26,'SENARAI PLAK'!$A$2:$B$159,2,FALSE)*$E26,FALSE))</formula>
    </cfRule>
  </conditionalFormatting>
  <dataValidations count="4">
    <dataValidation type="list" allowBlank="1" showInputMessage="1" showErrorMessage="1" sqref="C23">
      <formula1>"-,PERTAMA"</formula1>
    </dataValidation>
    <dataValidation type="list" allowBlank="1" showErrorMessage="1" errorTitle="JENIS PLAK" error="Pilih Jenis Plak dari senarai." sqref="B23:B26">
      <formula1>'SENARAI PLAK'!$A$2:$A$159</formula1>
    </dataValidation>
    <dataValidation type="list" allowBlank="1" showInputMessage="1" showErrorMessage="1" errorTitle="Information" sqref="C9:C17">
      <formula1>"-,PERTAMA"</formula1>
    </dataValidation>
    <dataValidation type="list" allowBlank="1" showInputMessage="1" showErrorMessage="1" promptTitle="KEDUDUKAN" prompt="Pilih dari dropdown. Lihat panduan di atas jadual." sqref="D9:D17 D23:D26">
      <formula1>"PERTAMA, KEDUA, KETIGA, KEEMPAT, KELIMA, KEENAM, KETUJUH, KELAPAN, KESEMBILAN, KESEPULUH,KE-11,KE-12,KE-13,KE-14,KE-15,KE-16,KE-17,KE-18,KE-19,KE-20"</formula1>
    </dataValidation>
  </dataValidation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X33"/>
  <sheetViews>
    <sheetView zoomScale="67" zoomScaleNormal="67" workbookViewId="0">
      <selection activeCell="F15" sqref="F15"/>
    </sheetView>
  </sheetViews>
  <sheetFormatPr defaultColWidth="9" defaultRowHeight="16.8"/>
  <cols>
    <col min="1" max="1" width="9" style="68" customWidth="1"/>
    <col min="2" max="2" width="24" style="68" customWidth="1"/>
    <col min="3" max="3" width="16" style="68" customWidth="1"/>
    <col min="4" max="4" width="16.5703125" style="68" customWidth="1"/>
    <col min="5" max="5" width="20.1796875" style="68" customWidth="1"/>
    <col min="6" max="7" width="17.5703125" style="68" customWidth="1"/>
    <col min="8" max="8" width="13.828125" style="68" customWidth="1"/>
    <col min="9" max="9" width="9" style="68" customWidth="1"/>
    <col min="10" max="10" width="8.296875" style="68" customWidth="1"/>
    <col min="11" max="11" width="17.84375" style="68" customWidth="1"/>
    <col min="12" max="12" width="10.2578125" style="68" customWidth="1"/>
    <col min="13" max="13" width="9" style="68" customWidth="1"/>
    <col min="14" max="14" width="13.5625" style="68" customWidth="1"/>
    <col min="15" max="16" width="9" style="68" customWidth="1"/>
    <col min="17" max="17" width="13.5625" style="68" customWidth="1"/>
    <col min="18" max="19" width="9" style="68" customWidth="1"/>
    <col min="20" max="20" width="13.5625" style="68" customWidth="1"/>
    <col min="21" max="22" width="9" style="68" customWidth="1"/>
    <col min="23" max="23" width="13.5625" style="68" customWidth="1"/>
    <col min="24" max="16384" width="9" style="68" customWidth="1"/>
  </cols>
  <sheetData>
    <row r="1" s="68" customFormat="1" ht="26" customHeight="1" spans="1:27 1402:1402">
      <c r="A1" s="37"/>
      <c r="B1" s="37"/>
      <c r="C1" s="37"/>
      <c r="E1" s="32" t="s">
        <v>12</v>
      </c>
      <c r="BAX1" s="68" t="s">
        <v>64</v>
      </c>
    </row>
    <row r="2" s="68" customFormat="1" ht="48" customHeight="1" spans="1:27 1402:1402">
      <c r="A2" s="33"/>
      <c r="B2" s="33"/>
      <c r="C2" s="33"/>
      <c r="E2" s="69"/>
      <c r="F2" s="35"/>
      <c r="G2" s="35"/>
      <c r="H2" s="35"/>
      <c r="BAX2" s="68" t="s">
        <v>65</v>
      </c>
    </row>
    <row r="3" s="68" customFormat="1" ht="43" customHeight="1" spans="1:27 1402:1402">
      <c r="A3" s="37"/>
      <c r="B3" s="37"/>
      <c r="C3" s="37"/>
      <c r="E3" s="64"/>
      <c r="F3" s="70"/>
      <c r="G3" s="70"/>
      <c r="H3" s="35"/>
      <c r="BAX3" s="68" t="s">
        <v>66</v>
      </c>
    </row>
    <row r="4" s="68" customFormat="1" ht="36" customHeight="1" spans="1:27 1402:1402">
      <c r="A4" s="37"/>
      <c r="B4" s="37"/>
      <c r="C4" s="37"/>
      <c r="E4" s="64"/>
      <c r="F4" s="70"/>
      <c r="G4" s="70"/>
      <c r="H4" s="35"/>
      <c r="BAX4" s="68" t="s">
        <v>67</v>
      </c>
    </row>
    <row r="5" s="68" customFormat="1" ht="32.45" customHeight="1" spans="1:27 1402:1402">
      <c r="A5" s="37"/>
      <c r="B5" s="37"/>
      <c r="C5" s="37"/>
      <c r="E5" s="69"/>
      <c r="F5" s="35"/>
      <c r="G5" s="35"/>
      <c r="H5" s="35"/>
      <c r="BAX5" s="68" t="s">
        <v>68</v>
      </c>
    </row>
    <row r="6" s="68" customFormat="1" ht="5" customHeight="1" spans="1:27 1402:1402">
      <c r="A6" s="31"/>
      <c r="B6" s="31"/>
      <c r="C6" s="31"/>
      <c r="D6" s="31"/>
      <c r="E6" s="31"/>
      <c r="BAX6" s="68" t="s">
        <v>69</v>
      </c>
    </row>
    <row r="7" s="37" customFormat="1" ht="48" customHeight="1" spans="1:27 1402:1402">
      <c r="A7" s="31"/>
      <c r="B7" s="31"/>
      <c r="C7" s="71"/>
      <c r="D7" s="71"/>
      <c r="E7" s="36"/>
      <c r="BAX7" s="37" t="s">
        <v>71</v>
      </c>
    </row>
    <row r="8" s="37" customFormat="1" ht="30" customHeight="1" spans="1:27 1402:1402">
      <c r="A8" s="31"/>
      <c r="B8" s="31"/>
      <c r="C8" s="71"/>
      <c r="D8" s="71"/>
      <c r="E8" s="31"/>
      <c r="BAX8" s="37" t="s">
        <v>74</v>
      </c>
    </row>
    <row r="9" s="37" customFormat="1" ht="30" customHeight="1" spans="1:27 1402:1402">
      <c r="A9" s="31"/>
      <c r="B9" s="41" t="s">
        <v>62</v>
      </c>
      <c r="C9" s="72" t="s">
        <v>70</v>
      </c>
      <c r="D9" s="73"/>
      <c r="E9" s="74" t="s">
        <v>45</v>
      </c>
      <c r="H9" s="75" t="s">
        <v>46</v>
      </c>
      <c r="I9" s="73"/>
      <c r="J9" s="31"/>
      <c r="K9" s="75" t="s">
        <v>47</v>
      </c>
      <c r="L9" s="73"/>
      <c r="M9" s="31"/>
      <c r="N9" s="75" t="s">
        <v>48</v>
      </c>
      <c r="O9" s="73"/>
      <c r="P9" s="31"/>
      <c r="Q9" s="75" t="s">
        <v>53</v>
      </c>
      <c r="R9" s="73"/>
      <c r="S9" s="31"/>
      <c r="T9" s="75" t="s">
        <v>54</v>
      </c>
      <c r="U9" s="73"/>
      <c r="V9" s="31"/>
      <c r="W9" s="75" t="s">
        <v>55</v>
      </c>
      <c r="X9" s="73"/>
      <c r="Y9" s="31"/>
      <c r="Z9" s="31"/>
      <c r="AA9" s="31"/>
      <c r="BAX9" s="37" t="s">
        <v>75</v>
      </c>
    </row>
    <row r="10" s="37" customFormat="1" ht="36" customHeight="1" spans="1:27 1402:1402">
      <c r="A10" s="31"/>
      <c r="B10" s="76"/>
      <c r="C10" s="72" t="s">
        <v>72</v>
      </c>
      <c r="D10" s="72" t="s">
        <v>73</v>
      </c>
      <c r="E10" s="77"/>
      <c r="H10" s="78" t="s">
        <v>63</v>
      </c>
      <c r="I10" s="79" t="s">
        <v>88</v>
      </c>
      <c r="J10" s="31"/>
      <c r="K10" s="78" t="s">
        <v>63</v>
      </c>
      <c r="L10" s="79" t="s">
        <v>88</v>
      </c>
      <c r="M10" s="31"/>
      <c r="N10" s="78" t="s">
        <v>63</v>
      </c>
      <c r="O10" s="79" t="s">
        <v>88</v>
      </c>
      <c r="P10" s="31"/>
      <c r="Q10" s="78" t="s">
        <v>63</v>
      </c>
      <c r="R10" s="79" t="s">
        <v>88</v>
      </c>
      <c r="S10" s="31"/>
      <c r="T10" s="78" t="s">
        <v>63</v>
      </c>
      <c r="U10" s="79" t="s">
        <v>88</v>
      </c>
      <c r="V10" s="31"/>
      <c r="W10" s="78" t="s">
        <v>63</v>
      </c>
      <c r="X10" s="79" t="s">
        <v>88</v>
      </c>
      <c r="Y10" s="31"/>
      <c r="Z10" s="31"/>
      <c r="AA10" s="31"/>
      <c r="BAX10" s="37" t="s">
        <v>76</v>
      </c>
    </row>
    <row r="11" s="37" customFormat="1" ht="30" customHeight="1" spans="1:27 1402:1402">
      <c r="A11" s="31"/>
      <c r="B11" s="41" t="s">
        <v>46</v>
      </c>
      <c r="C11" s="80"/>
      <c r="D11" s="80"/>
      <c r="E11" s="81">
        <f>SUM(I11:I31)*IF(D11="",1,IFERROR(MATCH(D11,$BAX$1:$BAX$20,0),1))</f>
        <v>0</v>
      </c>
      <c r="H11" s="82"/>
      <c r="I11" s="44"/>
      <c r="J11" s="31"/>
      <c r="K11" s="82"/>
      <c r="L11" s="44"/>
      <c r="M11" s="31"/>
      <c r="N11" s="82"/>
      <c r="O11" s="44"/>
      <c r="P11" s="31"/>
      <c r="Q11" s="82"/>
      <c r="R11" s="44"/>
      <c r="S11" s="31"/>
      <c r="T11" s="82"/>
      <c r="U11" s="44"/>
      <c r="V11" s="31"/>
      <c r="W11" s="82"/>
      <c r="X11" s="44"/>
      <c r="Y11" s="31"/>
      <c r="Z11" s="31"/>
      <c r="AA11" s="31"/>
      <c r="BAX11" s="37" t="s">
        <v>77</v>
      </c>
    </row>
    <row r="12" s="37" customFormat="1" ht="30" customHeight="1" spans="1:27 1402:1402">
      <c r="A12" s="31"/>
      <c r="B12" s="41" t="s">
        <v>47</v>
      </c>
      <c r="C12" s="80"/>
      <c r="D12" s="80"/>
      <c r="E12" s="81">
        <f>SUM(L11:L35)*IF(D12="",1,IFERROR(MATCH(D12,$BAX$1:$BAX$20,0),1))</f>
        <v>0</v>
      </c>
      <c r="H12" s="82"/>
      <c r="I12" s="44"/>
      <c r="J12" s="31"/>
      <c r="K12" s="82"/>
      <c r="L12" s="44"/>
      <c r="M12" s="31"/>
      <c r="N12" s="82"/>
      <c r="O12" s="44"/>
      <c r="P12" s="31"/>
      <c r="Q12" s="82"/>
      <c r="R12" s="44"/>
      <c r="S12" s="31"/>
      <c r="T12" s="82"/>
      <c r="U12" s="44"/>
      <c r="V12" s="31"/>
      <c r="W12" s="82"/>
      <c r="X12" s="44"/>
      <c r="Y12" s="31"/>
      <c r="Z12" s="31"/>
      <c r="AA12" s="31"/>
      <c r="BAX12" s="37" t="s">
        <v>78</v>
      </c>
    </row>
    <row r="13" s="37" customFormat="1" ht="30" customHeight="1" spans="1:27 1402:1402">
      <c r="A13" s="31"/>
      <c r="B13" s="41" t="s">
        <v>48</v>
      </c>
      <c r="C13" s="80"/>
      <c r="D13" s="80"/>
      <c r="E13" s="81">
        <f>SUM(O11:O31)*IF(D13="",1,IFERROR(MATCH(D13,$BAX$1:$BAX$20,0),1))</f>
        <v>0</v>
      </c>
      <c r="H13" s="82"/>
      <c r="I13" s="44"/>
      <c r="J13" s="31"/>
      <c r="K13" s="82"/>
      <c r="L13" s="44"/>
      <c r="M13" s="31"/>
      <c r="N13" s="82"/>
      <c r="O13" s="44"/>
      <c r="P13" s="31"/>
      <c r="Q13" s="82"/>
      <c r="R13" s="44"/>
      <c r="S13" s="31"/>
      <c r="T13" s="82"/>
      <c r="U13" s="44"/>
      <c r="V13" s="31"/>
      <c r="W13" s="82"/>
      <c r="X13" s="44"/>
      <c r="Y13" s="31"/>
      <c r="Z13" s="31"/>
      <c r="AA13" s="31"/>
      <c r="BAX13" s="37" t="s">
        <v>79</v>
      </c>
    </row>
    <row r="14" s="37" customFormat="1" ht="30" customHeight="1" spans="1:27 1402:1402">
      <c r="A14" s="31"/>
      <c r="B14" s="41" t="s">
        <v>53</v>
      </c>
      <c r="C14" s="80"/>
      <c r="D14" s="80"/>
      <c r="E14" s="81">
        <f>SUM(R11:R31)*IF(D14="",1,IFERROR(MATCH(D14,$BAX$1:$BAX$20,0),1))</f>
        <v>0</v>
      </c>
      <c r="H14" s="82"/>
      <c r="I14" s="44"/>
      <c r="J14" s="31"/>
      <c r="K14" s="82"/>
      <c r="L14" s="44"/>
      <c r="M14" s="31"/>
      <c r="N14" s="82"/>
      <c r="O14" s="44"/>
      <c r="P14" s="31"/>
      <c r="Q14" s="82"/>
      <c r="R14" s="44"/>
      <c r="S14" s="31"/>
      <c r="T14" s="82"/>
      <c r="U14" s="44"/>
      <c r="V14" s="31"/>
      <c r="W14" s="82"/>
      <c r="X14" s="44"/>
      <c r="Y14" s="31"/>
      <c r="Z14" s="31"/>
      <c r="AA14" s="31"/>
      <c r="BAX14" s="37" t="s">
        <v>80</v>
      </c>
    </row>
    <row r="15" s="37" customFormat="1" ht="30" customHeight="1" spans="1:27 1402:1402">
      <c r="A15" s="31"/>
      <c r="B15" s="41" t="s">
        <v>54</v>
      </c>
      <c r="C15" s="80"/>
      <c r="D15" s="80"/>
      <c r="E15" s="81">
        <f>SUM(U11:U31)*IF(D15="",1,IFERROR(MATCH(D15,$BAX$1:$BAX$20,0),1))</f>
        <v>0</v>
      </c>
      <c r="H15" s="82"/>
      <c r="I15" s="44"/>
      <c r="J15" s="31"/>
      <c r="K15" s="82"/>
      <c r="L15" s="44"/>
      <c r="M15" s="31"/>
      <c r="N15" s="82"/>
      <c r="O15" s="44"/>
      <c r="P15" s="31"/>
      <c r="Q15" s="82"/>
      <c r="R15" s="44"/>
      <c r="S15" s="31"/>
      <c r="T15" s="82"/>
      <c r="U15" s="44"/>
      <c r="V15" s="31"/>
      <c r="W15" s="82"/>
      <c r="X15" s="44"/>
      <c r="Y15" s="31"/>
      <c r="Z15" s="31"/>
      <c r="AA15" s="31"/>
      <c r="BAX15" s="37" t="s">
        <v>81</v>
      </c>
    </row>
    <row r="16" s="37" customFormat="1" ht="30" customHeight="1" spans="1:27 1402:1402">
      <c r="A16" s="31"/>
      <c r="B16" s="83" t="s">
        <v>55</v>
      </c>
      <c r="C16" s="80"/>
      <c r="D16" s="80"/>
      <c r="E16" s="81">
        <f>SUM(X11:X35)*IF(D16="",1,IFERROR(MATCH(D16,$BAX$1:$BAX$20,0),1))</f>
        <v>0</v>
      </c>
      <c r="H16" s="82"/>
      <c r="I16" s="44"/>
      <c r="J16" s="31"/>
      <c r="K16" s="82"/>
      <c r="L16" s="44"/>
      <c r="M16" s="31"/>
      <c r="N16" s="82"/>
      <c r="O16" s="44"/>
      <c r="P16" s="31"/>
      <c r="Q16" s="82"/>
      <c r="R16" s="44"/>
      <c r="S16" s="31"/>
      <c r="T16" s="82"/>
      <c r="U16" s="44"/>
      <c r="V16" s="31"/>
      <c r="W16" s="82"/>
      <c r="X16" s="44"/>
      <c r="Y16" s="31"/>
      <c r="Z16" s="31"/>
      <c r="AA16" s="31"/>
      <c r="BAX16" s="37" t="s">
        <v>82</v>
      </c>
    </row>
    <row r="17" s="37" customFormat="1" ht="30" customHeight="1" spans="1:27 1402:1402">
      <c r="A17" s="31"/>
      <c r="B17" s="83"/>
      <c r="C17" s="80"/>
      <c r="D17" s="80"/>
      <c r="E17" s="81"/>
      <c r="H17" s="82"/>
      <c r="I17" s="44"/>
      <c r="J17" s="31"/>
      <c r="K17" s="82"/>
      <c r="L17" s="44"/>
      <c r="M17" s="31"/>
      <c r="N17" s="82"/>
      <c r="O17" s="44"/>
      <c r="P17" s="31"/>
      <c r="Q17" s="82"/>
      <c r="R17" s="44"/>
      <c r="S17" s="31"/>
      <c r="T17" s="82"/>
      <c r="U17" s="44"/>
      <c r="V17" s="31"/>
      <c r="W17" s="82"/>
      <c r="X17" s="44"/>
      <c r="Y17" s="31"/>
      <c r="Z17" s="31"/>
      <c r="AA17" s="31"/>
      <c r="BAX17" s="37" t="s">
        <v>83</v>
      </c>
    </row>
    <row r="18" s="37" customFormat="1" ht="30" customHeight="1" spans="1:27 1402:1402">
      <c r="A18" s="31"/>
      <c r="B18" s="83"/>
      <c r="C18" s="80"/>
      <c r="D18" s="80"/>
      <c r="E18" s="81"/>
      <c r="H18" s="82"/>
      <c r="I18" s="44"/>
      <c r="J18" s="31"/>
      <c r="K18" s="82"/>
      <c r="L18" s="44"/>
      <c r="M18" s="31"/>
      <c r="N18" s="82"/>
      <c r="O18" s="44"/>
      <c r="P18" s="31"/>
      <c r="Q18" s="82"/>
      <c r="R18" s="44"/>
      <c r="S18" s="31"/>
      <c r="T18" s="82"/>
      <c r="U18" s="44"/>
      <c r="V18" s="31"/>
      <c r="W18" s="82"/>
      <c r="X18" s="44"/>
      <c r="Y18" s="31"/>
      <c r="Z18" s="31"/>
      <c r="AA18" s="31"/>
      <c r="BAX18" s="37" t="s">
        <v>84</v>
      </c>
    </row>
    <row r="19" s="37" customFormat="1" ht="30" customHeight="1" spans="1:27 1402:1402">
      <c r="A19" s="31"/>
      <c r="B19" s="84"/>
      <c r="C19" s="80"/>
      <c r="D19" s="80"/>
      <c r="E19" s="81" t="str">
        <f>IFERROR(MATCH(D19,$BAX$1:$BAX$10,0)-MATCH(C19,$BAX$1:$BAX$10,0)+1,"")</f>
        <v/>
      </c>
      <c r="H19" s="82"/>
      <c r="I19" s="44"/>
      <c r="J19" s="31"/>
      <c r="K19" s="82"/>
      <c r="L19" s="44"/>
      <c r="M19" s="31"/>
      <c r="N19" s="82"/>
      <c r="O19" s="44"/>
      <c r="P19" s="31"/>
      <c r="Q19" s="82"/>
      <c r="R19" s="44"/>
      <c r="S19" s="31"/>
      <c r="T19" s="82"/>
      <c r="U19" s="44"/>
      <c r="V19" s="31"/>
      <c r="W19" s="82"/>
      <c r="X19" s="44"/>
      <c r="Y19" s="31"/>
      <c r="Z19" s="31"/>
      <c r="AA19" s="31"/>
      <c r="BAX19" s="37" t="s">
        <v>85</v>
      </c>
    </row>
    <row r="20" s="37" customFormat="1" ht="30" customHeight="1" spans="1:27 1402:1402">
      <c r="A20" s="31"/>
      <c r="B20" s="85" t="s">
        <v>58</v>
      </c>
      <c r="C20" s="86"/>
      <c r="D20" s="75"/>
      <c r="E20" s="87">
        <f>SUM(E11:E19)</f>
        <v>0</v>
      </c>
      <c r="H20" s="82"/>
      <c r="I20" s="44"/>
      <c r="J20" s="31"/>
      <c r="K20" s="82"/>
      <c r="L20" s="44"/>
      <c r="M20" s="31"/>
      <c r="N20" s="82"/>
      <c r="O20" s="44"/>
      <c r="P20" s="31"/>
      <c r="Q20" s="82"/>
      <c r="R20" s="44"/>
      <c r="S20" s="31"/>
      <c r="T20" s="82"/>
      <c r="U20" s="44"/>
      <c r="V20" s="31"/>
      <c r="W20" s="82"/>
      <c r="X20" s="44"/>
      <c r="Y20" s="31"/>
      <c r="Z20" s="31"/>
      <c r="AA20" s="31"/>
      <c r="BAX20" s="37" t="s">
        <v>86</v>
      </c>
    </row>
    <row r="21" s="37" customFormat="1" ht="30" customHeight="1" spans="1:27 1402:1402">
      <c r="B21" s="31"/>
      <c r="C21" s="31"/>
      <c r="D21" s="31"/>
      <c r="E21" s="31"/>
      <c r="H21" s="82"/>
      <c r="I21" s="44"/>
      <c r="J21" s="31"/>
      <c r="K21" s="82"/>
      <c r="L21" s="44"/>
      <c r="M21" s="31"/>
      <c r="N21" s="82"/>
      <c r="O21" s="44"/>
      <c r="P21" s="31"/>
      <c r="Q21" s="82"/>
      <c r="R21" s="44"/>
      <c r="S21" s="31"/>
      <c r="T21" s="82"/>
      <c r="U21" s="44"/>
      <c r="V21" s="31"/>
      <c r="W21" s="82"/>
      <c r="X21" s="44"/>
      <c r="Y21" s="31"/>
      <c r="Z21" s="31"/>
      <c r="AA21" s="31"/>
    </row>
    <row r="22" s="37" customFormat="1" ht="30" customHeight="1" spans="1:27 1402:1402">
      <c r="B22" s="31"/>
      <c r="C22" s="31"/>
      <c r="D22" s="31"/>
      <c r="E22" s="31"/>
      <c r="H22" s="82"/>
      <c r="I22" s="44"/>
      <c r="J22" s="31"/>
      <c r="K22" s="82"/>
      <c r="L22" s="44"/>
      <c r="M22" s="31"/>
      <c r="N22" s="82"/>
      <c r="O22" s="44"/>
      <c r="P22" s="31"/>
      <c r="Q22" s="82"/>
      <c r="R22" s="44"/>
      <c r="S22" s="31"/>
      <c r="T22" s="82"/>
      <c r="U22" s="44"/>
      <c r="V22" s="31"/>
      <c r="W22" s="82"/>
      <c r="X22" s="44"/>
      <c r="Y22" s="31"/>
      <c r="Z22" s="31"/>
      <c r="AA22" s="31"/>
    </row>
    <row r="23" s="37" customFormat="1" ht="30" customHeight="1" spans="1:27 1402:1402">
      <c r="H23" s="82"/>
      <c r="I23" s="44"/>
      <c r="J23" s="31"/>
      <c r="K23" s="82"/>
      <c r="L23" s="44"/>
      <c r="M23" s="31"/>
      <c r="N23" s="82"/>
      <c r="O23" s="44"/>
      <c r="P23" s="31"/>
      <c r="Q23" s="82"/>
      <c r="R23" s="44"/>
      <c r="S23" s="31"/>
      <c r="T23" s="82"/>
      <c r="U23" s="44"/>
      <c r="V23" s="31"/>
      <c r="W23" s="82"/>
      <c r="X23" s="44"/>
      <c r="Y23" s="31"/>
      <c r="Z23" s="31"/>
      <c r="AA23" s="31"/>
    </row>
    <row r="24" s="37" customFormat="1" ht="30" customHeight="1" spans="1:27 1402:1402">
      <c r="H24" s="82"/>
      <c r="I24" s="44"/>
      <c r="J24" s="31"/>
      <c r="K24" s="82"/>
      <c r="L24" s="44"/>
      <c r="M24" s="31"/>
      <c r="N24" s="82"/>
      <c r="O24" s="44"/>
      <c r="P24" s="31"/>
      <c r="Q24" s="82"/>
      <c r="R24" s="44"/>
      <c r="S24" s="31"/>
      <c r="T24" s="82"/>
      <c r="U24" s="44"/>
      <c r="V24" s="31"/>
      <c r="W24" s="82"/>
      <c r="X24" s="44"/>
      <c r="Y24" s="31"/>
      <c r="Z24" s="31"/>
      <c r="AA24" s="31"/>
    </row>
    <row r="25" s="37" customFormat="1" ht="30" customHeight="1" spans="1:27 1402:1402">
      <c r="H25" s="82"/>
      <c r="I25" s="44"/>
      <c r="J25" s="31"/>
      <c r="K25" s="82"/>
      <c r="L25" s="44"/>
      <c r="M25" s="31"/>
      <c r="N25" s="82"/>
      <c r="O25" s="44"/>
      <c r="P25" s="31"/>
      <c r="Q25" s="82"/>
      <c r="R25" s="44"/>
      <c r="S25" s="31"/>
      <c r="T25" s="82"/>
      <c r="U25" s="44"/>
      <c r="V25" s="31"/>
      <c r="W25" s="82"/>
      <c r="X25" s="44"/>
      <c r="Y25" s="31"/>
      <c r="Z25" s="31"/>
      <c r="AA25" s="31"/>
    </row>
    <row r="26" s="37" customFormat="1" ht="30" customHeight="1" spans="1:27 1402:1402">
      <c r="H26" s="82"/>
      <c r="I26" s="44"/>
      <c r="J26" s="31"/>
      <c r="K26" s="82"/>
      <c r="L26" s="44"/>
      <c r="M26" s="31"/>
      <c r="N26" s="82"/>
      <c r="O26" s="44"/>
      <c r="P26" s="31"/>
      <c r="Q26" s="82"/>
      <c r="R26" s="44"/>
      <c r="S26" s="31"/>
      <c r="T26" s="82"/>
      <c r="U26" s="44"/>
      <c r="V26" s="31"/>
      <c r="W26" s="82"/>
      <c r="X26" s="44"/>
      <c r="Y26" s="31"/>
      <c r="Z26" s="31"/>
      <c r="AA26" s="31"/>
    </row>
    <row r="27" s="37" customFormat="1" ht="30" customHeight="1"/>
    <row r="28" s="37" customFormat="1" ht="30" customHeight="1" spans="1:27 1402:1402">
      <c r="B28" s="86" t="s">
        <v>6</v>
      </c>
      <c r="C28" s="86" t="s">
        <v>87</v>
      </c>
      <c r="D28" s="73"/>
      <c r="E28" s="88" t="s">
        <v>7</v>
      </c>
      <c r="F28" s="89" t="s">
        <v>8</v>
      </c>
    </row>
    <row r="29" ht="18" customHeight="1" spans="1:27 1402:1402">
      <c r="B29" s="90"/>
      <c r="C29" s="72" t="s">
        <v>72</v>
      </c>
      <c r="D29" s="72" t="s">
        <v>73</v>
      </c>
      <c r="E29" s="91"/>
      <c r="F29" s="91"/>
    </row>
    <row r="30" ht="17.6" customHeight="1" spans="1:27 1402:1402">
      <c r="B30" s="64"/>
      <c r="C30" s="64"/>
      <c r="D30" s="64"/>
      <c r="E30" s="92"/>
      <c r="F30" s="92" t="str">
        <f>IF(OR(B30="",E30=""),"",IFERROR(VLOOKUP(B30,'SENARAI PLAK'!$A$2:$B$159,2,FALSE)*E30,""))</f>
        <v/>
      </c>
    </row>
    <row r="31" ht="17.6" customHeight="1" spans="1:27 1402:1402">
      <c r="B31" s="64"/>
      <c r="C31" s="93" t="str">
        <f t="array" ref="C31">IFERROR(INDEX($BBC$2:$BBC$21,MATCH(D30,$BAX$1:$BAX$10,0)+1),"")</f>
        <v/>
      </c>
      <c r="D31" s="64"/>
      <c r="E31" s="94"/>
      <c r="F31" s="64" t="str">
        <f>IF(OR(B31="",E31=""),"",IFERROR(VLOOKUP(B31,'SENARAI PLAK'!$A$2:$B$159,2,FALSE)*E31,""))</f>
        <v/>
      </c>
    </row>
    <row r="32" ht="17.6" customHeight="1" spans="1:27 1402:1402">
      <c r="B32" s="64"/>
      <c r="C32" s="93" t="str">
        <f t="array" ref="C32">IFERROR(INDEX($BAX$1:$BAX$20,MATCH(D31,$BAX$1:$BAX$10,0)+1),"")</f>
        <v/>
      </c>
      <c r="D32" s="64"/>
      <c r="E32" s="94"/>
      <c r="F32" s="64" t="str">
        <f>IF(OR(B32="",E32=""),"",IFERROR(VLOOKUP(B32,'SENARAI PLAK'!$A$2:$B$159,2,FALSE)*E32,""))</f>
        <v/>
      </c>
    </row>
    <row r="33" ht="17.6" customHeight="1" spans="2:6">
      <c r="B33" s="64"/>
      <c r="C33" s="93" t="str">
        <f t="array" ref="C33">IFERROR(INDEX($BAX$1:$BAX$20,MATCH(D32,$BAX$1:$BAX$10,0)+1),"")</f>
        <v/>
      </c>
      <c r="D33" s="64"/>
      <c r="E33" s="64"/>
      <c r="F33" s="64" t="str">
        <f>IF(OR(B33="",E33=""),"",IFERROR(VLOOKUP(B33,'SENARAI PLAK'!$A$2:$B$159,2,FALSE)*E33,""))</f>
        <v/>
      </c>
    </row>
  </sheetData>
  <mergeCells count="19">
    <mergeCell ref="E1:H1"/>
    <mergeCell ref="E2:H2"/>
    <mergeCell ref="E3:H3"/>
    <mergeCell ref="E4:H4"/>
    <mergeCell ref="E5:H5"/>
    <mergeCell ref="E7:H7"/>
    <mergeCell ref="C9:D9"/>
    <mergeCell ref="H9:I9"/>
    <mergeCell ref="K9:L9"/>
    <mergeCell ref="N9:O9"/>
    <mergeCell ref="Q9:R9"/>
    <mergeCell ref="T9:U9"/>
    <mergeCell ref="W9:X9"/>
    <mergeCell ref="C28:D28"/>
    <mergeCell ref="B9:B10"/>
    <mergeCell ref="B28:B29"/>
    <mergeCell ref="E9:E10"/>
    <mergeCell ref="E28:E29"/>
    <mergeCell ref="F28:F29"/>
  </mergeCells>
  <conditionalFormatting sqref="F30">
    <cfRule type="expression" dxfId="0" priority="100">
      <formula>AND($B30&lt;&gt;"",$F30&lt;&gt;"",IFERROR($F30&lt;&gt;VLOOKUP($B30,'SENARAI PLAK'!$A$2:$B$159,2,FALSE)*$E30,FALSE))</formula>
    </cfRule>
  </conditionalFormatting>
  <conditionalFormatting sqref="F31">
    <cfRule type="expression" dxfId="0" priority="101">
      <formula>AND($B31&lt;&gt;"",$F31&lt;&gt;"",IFERROR($F31&lt;&gt;VLOOKUP($B31,'SENARAI PLAK'!$A$2:$B$159,2,FALSE)*$E31,FALSE))</formula>
    </cfRule>
  </conditionalFormatting>
  <conditionalFormatting sqref="F32">
    <cfRule type="expression" dxfId="0" priority="102">
      <formula>AND($B32&lt;&gt;"",$F32&lt;&gt;"",IFERROR($F32&lt;&gt;VLOOKUP($B32,'SENARAI PLAK'!$A$2:$B$159,2,FALSE)*$E32,FALSE))</formula>
    </cfRule>
  </conditionalFormatting>
  <conditionalFormatting sqref="F33">
    <cfRule type="expression" dxfId="0" priority="103">
      <formula>AND($B33&lt;&gt;"",$F33&lt;&gt;"",IFERROR($F33&lt;&gt;VLOOKUP($B33,'SENARAI PLAK'!$A$2:$B$159,2,FALSE)*$E33,FALSE))</formula>
    </cfRule>
  </conditionalFormatting>
  <dataValidations count="4">
    <dataValidation type="list" allowBlank="1" showInputMessage="1" showErrorMessage="1" sqref="C30">
      <formula1>"-,PERTAMA"</formula1>
    </dataValidation>
    <dataValidation type="list" allowBlank="1" showErrorMessage="1" errorTitle="JENIS PLAK" error="Pilih Jenis Plak dari senarai." sqref="B30:B33">
      <formula1>'SENARAI PLAK'!$A$2:$A$159</formula1>
    </dataValidation>
    <dataValidation type="list" allowBlank="1" showInputMessage="1" showErrorMessage="1" errorTitle="Information" sqref="C11:C19">
      <formula1>"-,PERTAMA"</formula1>
    </dataValidation>
    <dataValidation type="list" allowBlank="1" showInputMessage="1" showErrorMessage="1" promptTitle="KEDUDUKAN" prompt="Pilih dari dropdown. Lihat panduan di atas jadual." sqref="D11:D19 D30:D33">
      <formula1>"PERTAMA, KEDUA, KETIGA, KEEMPAT, KELIMA, KEENAM, KETUJUH, KELAPAN, KESEMBILAN, KESEPULUH,KE-11,KE-12,KE-13,KE-14,KE-15,KE-16,KE-17,KE-18,KE-19,KE-20"</formula1>
    </dataValidation>
  </dataValidation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zoomScale="75" zoomScaleNormal="75" workbookViewId="0">
      <selection activeCell="C2" sqref="C2:F4"/>
    </sheetView>
  </sheetViews>
  <sheetFormatPr defaultColWidth="9.140625" defaultRowHeight="21.95" customHeight="1"/>
  <cols>
    <col min="1" max="1" width="30.2890625" style="31" customWidth="1"/>
    <col min="2" max="2" width="26.2890625" style="31" customWidth="1"/>
    <col min="3" max="3" width="9.5703125" style="31" customWidth="1"/>
    <col min="4" max="4" width="14" style="31" customWidth="1"/>
    <col min="5" max="5" width="17.6875" style="31" customWidth="1"/>
    <col min="6" max="6" width="14.2890625" style="31" customWidth="1"/>
    <col min="7" max="7" width="9.140625" style="31" customWidth="1"/>
    <col min="8" max="8" width="15.09375" style="31" customWidth="1"/>
    <col min="9" max="9" width="18.9140625" style="31" customWidth="1"/>
    <col min="10" max="10" width="34.71875" style="31" customWidth="1"/>
    <col min="11" max="16384" width="9.140625" style="31" customWidth="1"/>
  </cols>
  <sheetData>
    <row r="1" s="37" customFormat="1" ht="32.1" customHeight="1" spans="1:8">
      <c r="C1" s="32" t="s">
        <v>12</v>
      </c>
    </row>
    <row r="2" s="37" customFormat="1" ht="44" customHeight="1" spans="1:8">
      <c r="A2" s="33"/>
      <c r="B2" s="33"/>
      <c r="C2" s="38"/>
      <c r="D2" s="35"/>
      <c r="E2" s="35"/>
      <c r="F2" s="35"/>
      <c r="H2" s="36"/>
    </row>
    <row r="3" s="37" customFormat="1" ht="30" customHeight="1" spans="1:8">
      <c r="C3" s="38"/>
      <c r="D3" s="59"/>
      <c r="E3" s="59"/>
      <c r="F3" s="35"/>
    </row>
    <row r="4" ht="30.95" customHeight="1" spans="1:8">
      <c r="A4" s="37"/>
      <c r="B4" s="37"/>
      <c r="C4" s="38"/>
      <c r="D4" s="35"/>
      <c r="E4" s="35"/>
      <c r="F4" s="35"/>
    </row>
    <row r="6" ht="24.95" customHeight="1" spans="1:8">
      <c r="A6" s="41" t="s">
        <v>62</v>
      </c>
      <c r="B6" s="60" t="s">
        <v>15</v>
      </c>
      <c r="C6" s="61" t="s">
        <v>6</v>
      </c>
      <c r="D6" s="62"/>
      <c r="E6" s="42" t="s">
        <v>89</v>
      </c>
      <c r="F6" s="43" t="s">
        <v>90</v>
      </c>
    </row>
    <row r="7" ht="24.95" customHeight="1" spans="1:8">
      <c r="A7" s="41" t="s">
        <v>46</v>
      </c>
      <c r="B7" s="63"/>
      <c r="C7" s="64"/>
      <c r="D7" s="51"/>
      <c r="E7" s="44" t="str">
        <f>IF(C7="","",IFERROR(VLOOKUP(C7,'SENARAI PLAK'!$A$2:$B$159,2,FALSE),""))</f>
        <v/>
      </c>
      <c r="F7" s="45">
        <f t="shared" ref="F7:F16" si="0">IFERROR(E7*B7,0)</f>
        <v>0</v>
      </c>
    </row>
    <row r="8" ht="24.95" customHeight="1" spans="1:8">
      <c r="A8" s="41" t="s">
        <v>47</v>
      </c>
      <c r="B8" s="63"/>
      <c r="C8" s="64"/>
      <c r="D8" s="51"/>
      <c r="E8" s="44" t="str">
        <f>IF(C8="","",IFERROR(VLOOKUP(C8,'SENARAI PLAK'!$A$2:$B$159,2,FALSE),""))</f>
        <v/>
      </c>
      <c r="F8" s="45">
        <f t="shared" si="0"/>
        <v>0</v>
      </c>
    </row>
    <row r="9" ht="24.95" customHeight="1" spans="1:8">
      <c r="A9" s="41" t="s">
        <v>48</v>
      </c>
      <c r="B9" s="63"/>
      <c r="C9" s="64"/>
      <c r="D9" s="51"/>
      <c r="E9" s="44" t="str">
        <f>IF(C9="","",IFERROR(VLOOKUP(C9,'SENARAI PLAK'!$A$2:$B$159,2,FALSE),""))</f>
        <v/>
      </c>
      <c r="F9" s="45">
        <f t="shared" si="0"/>
        <v>0</v>
      </c>
    </row>
    <row r="10" ht="24.95" customHeight="1" spans="1:8">
      <c r="A10" s="41" t="s">
        <v>53</v>
      </c>
      <c r="B10" s="63"/>
      <c r="C10" s="64"/>
      <c r="D10" s="51"/>
      <c r="E10" s="44" t="str">
        <f>IF(C10="","",IFERROR(VLOOKUP(C10,'SENARAI PLAK'!$A$2:$B$159,2,FALSE),""))</f>
        <v/>
      </c>
      <c r="F10" s="45">
        <f t="shared" si="0"/>
        <v>0</v>
      </c>
    </row>
    <row r="11" ht="24.95" customHeight="1" spans="1:8">
      <c r="A11" s="41" t="s">
        <v>54</v>
      </c>
      <c r="B11" s="63"/>
      <c r="C11" s="64"/>
      <c r="D11" s="51"/>
      <c r="E11" s="44" t="str">
        <f>IF(C11="","",IFERROR(VLOOKUP(C11,'SENARAI PLAK'!$A$2:$B$159,2,FALSE),""))</f>
        <v/>
      </c>
      <c r="F11" s="45">
        <f t="shared" si="0"/>
        <v>0</v>
      </c>
    </row>
    <row r="12" ht="22" customHeight="1" spans="1:8">
      <c r="A12" s="41" t="s">
        <v>55</v>
      </c>
      <c r="B12" s="63"/>
      <c r="C12" s="64"/>
      <c r="D12" s="51"/>
      <c r="E12" s="44" t="str">
        <f>IF(C12="","",IFERROR(VLOOKUP(C12,'SENARAI PLAK'!$A$2:$B$159,2,FALSE),""))</f>
        <v/>
      </c>
      <c r="F12" s="45">
        <f t="shared" si="0"/>
        <v>0</v>
      </c>
    </row>
    <row r="13" ht="21.75" customHeight="1" spans="1:8">
      <c r="A13" s="46"/>
      <c r="B13" s="63"/>
      <c r="C13" s="64"/>
      <c r="D13" s="51"/>
      <c r="E13" s="44" t="str">
        <f>IF(C13="","",IFERROR(VLOOKUP(C13,'SENARAI PLAK'!$A$2:$B$159,2,FALSE),""))</f>
        <v/>
      </c>
      <c r="F13" s="45">
        <f t="shared" si="0"/>
        <v>0</v>
      </c>
    </row>
    <row r="14" s="37" customFormat="1" ht="27.95" customHeight="1" spans="1:8">
      <c r="A14" s="47"/>
      <c r="B14" s="63"/>
      <c r="C14" s="64"/>
      <c r="D14" s="51"/>
      <c r="E14" s="44" t="str">
        <f>IF(C14="","",IFERROR(VLOOKUP(C14,'SENARAI PLAK'!$A$2:$B$159,2,FALSE),""))</f>
        <v/>
      </c>
      <c r="F14" s="45">
        <f t="shared" si="0"/>
        <v>0</v>
      </c>
    </row>
    <row r="15" s="37" customFormat="1" ht="27.95" customHeight="1" spans="1:8">
      <c r="A15" s="47"/>
      <c r="B15" s="63"/>
      <c r="C15" s="64"/>
      <c r="D15" s="51"/>
      <c r="E15" s="44" t="str">
        <f>IF(C15="","",IFERROR(VLOOKUP(C15,'SENARAI PLAK'!$A$2:$B$159,2,FALSE),""))</f>
        <v/>
      </c>
      <c r="F15" s="45">
        <f t="shared" si="0"/>
        <v>0</v>
      </c>
    </row>
    <row r="16" s="37" customFormat="1" ht="27.95" customHeight="1" spans="1:8">
      <c r="A16" s="47"/>
      <c r="B16" s="63"/>
      <c r="C16" s="64"/>
      <c r="D16" s="51"/>
      <c r="E16" s="44" t="str">
        <f>IF(C16="","",IFERROR(VLOOKUP(C16,'SENARAI PLAK'!$A$2:$B$159,2,FALSE),""))</f>
        <v/>
      </c>
      <c r="F16" s="45">
        <f t="shared" si="0"/>
        <v>0</v>
      </c>
    </row>
    <row r="17" s="37" customFormat="1" ht="27.95" customHeight="1" spans="1:6">
      <c r="A17" s="47" t="s">
        <v>58</v>
      </c>
      <c r="B17" s="65">
        <f>SUM(B7:B16)</f>
        <v>0</v>
      </c>
      <c r="C17" s="66"/>
      <c r="D17" s="67"/>
      <c r="E17" s="42"/>
      <c r="F17" s="45">
        <f>SUM(F7:F16)</f>
        <v>0</v>
      </c>
    </row>
    <row r="18" s="37" customFormat="1" ht="17.6" spans="1:6">
      <c r="D18" s="31"/>
    </row>
  </sheetData>
  <mergeCells count="17">
    <mergeCell ref="C1:E1"/>
    <mergeCell ref="C2:F2"/>
    <mergeCell ref="H2:J2"/>
    <mergeCell ref="C3:F3"/>
    <mergeCell ref="C4:F4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</mergeCells>
  <conditionalFormatting sqref="E7">
    <cfRule type="expression" dxfId="0" priority="100">
      <formula>AND($C7&lt;&gt;"",$E7&lt;&gt;"",IFERROR($E7&lt;&gt;VLOOKUP($C7,'SENARAI PLAK'!$A$2:$B$159,2,FALSE),FALSE))</formula>
    </cfRule>
  </conditionalFormatting>
  <conditionalFormatting sqref="E8">
    <cfRule type="expression" dxfId="0" priority="101">
      <formula>AND($C8&lt;&gt;"",$E8&lt;&gt;"",IFERROR($E8&lt;&gt;VLOOKUP($C8,'SENARAI PLAK'!$A$2:$B$159,2,FALSE),FALSE))</formula>
    </cfRule>
  </conditionalFormatting>
  <conditionalFormatting sqref="E9">
    <cfRule type="expression" dxfId="0" priority="102">
      <formula>AND($C9&lt;&gt;"",$E9&lt;&gt;"",IFERROR($E9&lt;&gt;VLOOKUP($C9,'SENARAI PLAK'!$A$2:$B$159,2,FALSE),FALSE))</formula>
    </cfRule>
  </conditionalFormatting>
  <conditionalFormatting sqref="E10">
    <cfRule type="expression" dxfId="0" priority="103">
      <formula>AND($C10&lt;&gt;"",$E10&lt;&gt;"",IFERROR($E10&lt;&gt;VLOOKUP($C10,'SENARAI PLAK'!$A$2:$B$159,2,FALSE),FALSE))</formula>
    </cfRule>
  </conditionalFormatting>
  <conditionalFormatting sqref="E11">
    <cfRule type="expression" dxfId="0" priority="104">
      <formula>AND($C11&lt;&gt;"",$E11&lt;&gt;"",IFERROR($E11&lt;&gt;VLOOKUP($C11,'SENARAI PLAK'!$A$2:$B$159,2,FALSE),FALSE))</formula>
    </cfRule>
  </conditionalFormatting>
  <conditionalFormatting sqref="E12">
    <cfRule type="expression" dxfId="0" priority="105">
      <formula>AND($C12&lt;&gt;"",$E12&lt;&gt;"",IFERROR($E12&lt;&gt;VLOOKUP($C12,'SENARAI PLAK'!$A$2:$B$159,2,FALSE),FALSE))</formula>
    </cfRule>
  </conditionalFormatting>
  <conditionalFormatting sqref="E13">
    <cfRule type="expression" dxfId="0" priority="106">
      <formula>AND($C13&lt;&gt;"",$E13&lt;&gt;"",IFERROR($E13&lt;&gt;VLOOKUP($C13,'SENARAI PLAK'!$A$2:$B$159,2,FALSE),FALSE))</formula>
    </cfRule>
  </conditionalFormatting>
  <conditionalFormatting sqref="E14">
    <cfRule type="expression" dxfId="0" priority="107">
      <formula>AND($C14&lt;&gt;"",$E14&lt;&gt;"",IFERROR($E14&lt;&gt;VLOOKUP($C14,'SENARAI PLAK'!$A$2:$B$159,2,FALSE),FALSE))</formula>
    </cfRule>
  </conditionalFormatting>
  <conditionalFormatting sqref="E15">
    <cfRule type="expression" dxfId="0" priority="108">
      <formula>AND($C15&lt;&gt;"",$E15&lt;&gt;"",IFERROR($E15&lt;&gt;VLOOKUP($C15,'SENARAI PLAK'!$A$2:$B$159,2,FALSE),FALSE))</formula>
    </cfRule>
  </conditionalFormatting>
  <conditionalFormatting sqref="E16">
    <cfRule type="expression" dxfId="0" priority="109">
      <formula>AND($C16&lt;&gt;"",$E16&lt;&gt;"",IFERROR($E16&lt;&gt;VLOOKUP($C16,'SENARAI PLAK'!$A$2:$B$159,2,FALSE),FALSE))</formula>
    </cfRule>
  </conditionalFormatting>
  <dataValidations count="1">
    <dataValidation type="list" allowBlank="1" showErrorMessage="1" errorTitle="JENIS PLAK" error="Pilih Jenis Plak dari senarai." sqref="C7:C16">
      <formula1>'SENARAI PLAK'!$A$2:$A$159</formula1>
    </dataValidation>
  </dataValidations>
  <pageMargins left="0.959722222222222" right="0.25" top="0.240277777777778" bottom="0.229861111111111" header="0.511805555555556" footer="0.511805555555556"/>
  <pageSetup paperSize="9" scale="92" orientation="portrait" horizontalDpi="300" verticalDpi="30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zoomScale="101" zoomScaleNormal="101" workbookViewId="0">
      <selection activeCell="C14" sqref="C14"/>
    </sheetView>
  </sheetViews>
  <sheetFormatPr defaultColWidth="9.140625" defaultRowHeight="17.6"/>
  <cols>
    <col min="1" max="1" width="22.2890625" style="31" customWidth="1"/>
    <col min="2" max="2" width="28.4296875" style="31" customWidth="1"/>
    <col min="3" max="3" width="18.140625" style="31" customWidth="1"/>
    <col min="4" max="4" width="11.5703125" style="31" customWidth="1"/>
    <col min="5" max="5" width="21.140625" style="31" customWidth="1"/>
    <col min="6" max="6" width="16.859375" style="31" customWidth="1"/>
    <col min="7" max="7" width="17.6875" style="31" customWidth="1"/>
    <col min="8" max="8" width="14.75" style="31" customWidth="1"/>
    <col min="9" max="11" width="9.140625" style="31" customWidth="1"/>
    <col min="12" max="12" width="29.1328125" style="31" customWidth="1"/>
    <col min="13" max="16384" width="9.140625" style="31" customWidth="1"/>
  </cols>
  <sheetData>
    <row r="1" s="37" customFormat="1" ht="32.1" customHeight="1" spans="1:8">
      <c r="D1" s="32" t="s">
        <v>12</v>
      </c>
    </row>
    <row r="2" s="37" customFormat="1" ht="50" customHeight="1" spans="1:8">
      <c r="A2" s="33"/>
      <c r="B2" s="33"/>
      <c r="C2" s="33"/>
      <c r="D2" s="34"/>
      <c r="E2" s="50"/>
      <c r="F2" s="51"/>
      <c r="H2" s="36"/>
    </row>
    <row r="3" s="37" customFormat="1" ht="32.1" customHeight="1" spans="1:8">
      <c r="D3" s="38"/>
      <c r="E3" s="50"/>
      <c r="F3" s="51"/>
    </row>
    <row r="4" ht="26.25" customHeight="1" spans="1:8">
      <c r="A4" s="37"/>
      <c r="B4" s="37"/>
      <c r="C4" s="37"/>
      <c r="D4" s="38"/>
      <c r="E4" s="50"/>
      <c r="F4" s="51"/>
    </row>
    <row r="5" ht="21.95" customHeight="1"/>
    <row r="6" ht="24.95" customHeight="1" spans="1:8">
      <c r="A6" s="41" t="s">
        <v>91</v>
      </c>
      <c r="B6" s="41" t="s">
        <v>92</v>
      </c>
      <c r="C6" s="41" t="s">
        <v>93</v>
      </c>
      <c r="D6" s="41" t="s">
        <v>15</v>
      </c>
      <c r="E6" s="42" t="s">
        <v>6</v>
      </c>
      <c r="F6" s="42" t="s">
        <v>94</v>
      </c>
      <c r="G6" s="42" t="s">
        <v>89</v>
      </c>
      <c r="H6" s="43" t="s">
        <v>90</v>
      </c>
    </row>
    <row r="7" ht="24.95" customHeight="1" spans="1:8">
      <c r="A7" s="46" t="s">
        <v>95</v>
      </c>
      <c r="B7" s="52"/>
      <c r="C7" s="53"/>
      <c r="D7" s="53"/>
      <c r="E7" s="44"/>
      <c r="F7" s="44"/>
      <c r="G7" s="44" t="str">
        <f>IF(E7="","",IFERROR(VLOOKUP(E7,'SENARAI PLAK'!$A$2:$B$159,2,FALSE),""))</f>
        <v/>
      </c>
      <c r="H7" s="45">
        <f t="shared" ref="H7:H17" si="0">IFERROR(G7*D7,0)</f>
        <v>0</v>
      </c>
    </row>
    <row r="8" ht="24.95" customHeight="1" spans="1:8">
      <c r="A8" s="46" t="s">
        <v>96</v>
      </c>
      <c r="B8" s="52"/>
      <c r="C8" s="53"/>
      <c r="D8" s="53"/>
      <c r="E8" s="44"/>
      <c r="F8" s="44"/>
      <c r="G8" s="44" t="str">
        <f>IF(E8="","",IFERROR(VLOOKUP(E8,'SENARAI PLAK'!$A$2:$B$159,2,FALSE),""))</f>
        <v/>
      </c>
      <c r="H8" s="45">
        <f t="shared" si="0"/>
        <v>0</v>
      </c>
    </row>
    <row r="9" ht="24.95" customHeight="1" spans="1:8">
      <c r="A9" s="46" t="s">
        <v>97</v>
      </c>
      <c r="B9" s="52"/>
      <c r="C9" s="53"/>
      <c r="D9" s="53"/>
      <c r="E9" s="44"/>
      <c r="F9" s="44"/>
      <c r="G9" s="44" t="str">
        <f>IF(E9="","",IFERROR(VLOOKUP(E9,'SENARAI PLAK'!$A$2:$B$159,2,FALSE),""))</f>
        <v/>
      </c>
      <c r="H9" s="45">
        <f t="shared" si="0"/>
        <v>0</v>
      </c>
    </row>
    <row r="10" ht="24.95" customHeight="1" spans="1:8">
      <c r="A10" s="46" t="s">
        <v>98</v>
      </c>
      <c r="B10" s="52"/>
      <c r="C10" s="53"/>
      <c r="D10" s="53"/>
      <c r="E10" s="44"/>
      <c r="F10" s="44"/>
      <c r="G10" s="44" t="str">
        <f>IF(E10="","",IFERROR(VLOOKUP(E10,'SENARAI PLAK'!$A$2:$B$159,2,FALSE),""))</f>
        <v/>
      </c>
      <c r="H10" s="45">
        <f t="shared" si="0"/>
        <v>0</v>
      </c>
    </row>
    <row r="11" ht="24.95" customHeight="1" spans="1:8">
      <c r="A11" s="46" t="s">
        <v>99</v>
      </c>
      <c r="B11" s="52"/>
      <c r="C11" s="53"/>
      <c r="D11" s="53"/>
      <c r="E11" s="44"/>
      <c r="F11" s="44"/>
      <c r="G11" s="44" t="str">
        <f>IF(E11="","",IFERROR(VLOOKUP(E11,'SENARAI PLAK'!$A$2:$B$159,2,FALSE),""))</f>
        <v/>
      </c>
      <c r="H11" s="45">
        <f t="shared" si="0"/>
        <v>0</v>
      </c>
    </row>
    <row r="12" ht="24.95" customHeight="1" spans="1:8">
      <c r="A12" s="46"/>
      <c r="B12" s="52"/>
      <c r="C12" s="53"/>
      <c r="D12" s="53"/>
      <c r="E12" s="44"/>
      <c r="F12" s="44"/>
      <c r="G12" s="44" t="str">
        <f>IF(E12="","",IFERROR(VLOOKUP(E12,'SENARAI PLAK'!$A$2:$B$159,2,FALSE),""))</f>
        <v/>
      </c>
      <c r="H12" s="45">
        <f t="shared" si="0"/>
        <v>0</v>
      </c>
    </row>
    <row r="13" ht="24.95" customHeight="1" spans="1:8">
      <c r="A13" s="46"/>
      <c r="B13" s="52"/>
      <c r="C13" s="53"/>
      <c r="D13" s="53"/>
      <c r="E13" s="44"/>
      <c r="F13" s="44"/>
      <c r="G13" s="44" t="str">
        <f>IF(E13="","",IFERROR(VLOOKUP(E13,'SENARAI PLAK'!$A$2:$B$159,2,FALSE),""))</f>
        <v/>
      </c>
      <c r="H13" s="45">
        <f t="shared" si="0"/>
        <v>0</v>
      </c>
    </row>
    <row r="14" ht="24.95" customHeight="1" spans="1:8">
      <c r="A14" s="46"/>
      <c r="B14" s="52"/>
      <c r="C14" s="53"/>
      <c r="D14" s="53"/>
      <c r="E14" s="44"/>
      <c r="F14" s="44"/>
      <c r="G14" s="44" t="str">
        <f>IF(E14="","",IFERROR(VLOOKUP(E14,'SENARAI PLAK'!$A$2:$B$159,2,FALSE),""))</f>
        <v/>
      </c>
      <c r="H14" s="45">
        <f t="shared" si="0"/>
        <v>0</v>
      </c>
    </row>
    <row r="15" ht="24.95" customHeight="1" spans="1:8">
      <c r="A15" s="46"/>
      <c r="B15" s="52"/>
      <c r="C15" s="53"/>
      <c r="D15" s="53"/>
      <c r="E15" s="44"/>
      <c r="F15" s="44"/>
      <c r="G15" s="44" t="str">
        <f>IF(E15="","",IFERROR(VLOOKUP(E15,'SENARAI PLAK'!$A$2:$B$159,2,FALSE),""))</f>
        <v/>
      </c>
      <c r="H15" s="45">
        <f t="shared" si="0"/>
        <v>0</v>
      </c>
    </row>
    <row r="16" ht="21.95" customHeight="1" spans="1:8">
      <c r="A16" s="46"/>
      <c r="B16" s="52"/>
      <c r="C16" s="53"/>
      <c r="D16" s="53"/>
      <c r="E16" s="44"/>
      <c r="F16" s="44"/>
      <c r="G16" s="44" t="str">
        <f>IF(E16="","",IFERROR(VLOOKUP(E16,'SENARAI PLAK'!$A$2:$B$159,2,FALSE),""))</f>
        <v/>
      </c>
      <c r="H16" s="45">
        <f t="shared" si="0"/>
        <v>0</v>
      </c>
    </row>
    <row r="17" ht="21.75" customHeight="1" spans="1:8">
      <c r="A17" s="46"/>
      <c r="B17" s="52"/>
      <c r="C17" s="53"/>
      <c r="D17" s="53"/>
      <c r="E17" s="44"/>
      <c r="F17" s="44"/>
      <c r="G17" s="44" t="str">
        <f>IF(E17="","",IFERROR(VLOOKUP(E17,'SENARAI PLAK'!$A$2:$B$159,2,FALSE),""))</f>
        <v/>
      </c>
      <c r="H17" s="45">
        <f t="shared" si="0"/>
        <v>0</v>
      </c>
    </row>
    <row r="18" ht="21.75" customHeight="1" spans="1:8">
      <c r="A18" s="54" t="s">
        <v>58</v>
      </c>
      <c r="B18" s="54"/>
      <c r="C18" s="55"/>
      <c r="D18" s="56">
        <f>SUM(D7:D17)</f>
        <v>0</v>
      </c>
      <c r="E18" s="57"/>
      <c r="F18" s="42"/>
      <c r="G18" s="42"/>
      <c r="H18" s="45">
        <f>SUM(H7:H16)</f>
        <v>0</v>
      </c>
    </row>
    <row r="19" ht="21.75" customHeight="1" spans="1:8">
      <c r="A19" s="58"/>
      <c r="B19" s="58"/>
      <c r="C19" s="58"/>
    </row>
    <row r="20" ht="21.75" customHeight="1" spans="1:8">
      <c r="A20" s="58"/>
      <c r="B20" s="58"/>
      <c r="C20" s="58"/>
    </row>
    <row r="21" ht="21.95" customHeight="1"/>
    <row r="22" s="37" customFormat="1" ht="32.1" customHeight="1"/>
    <row r="23" s="37" customFormat="1" ht="32.1" customHeight="1"/>
    <row r="24" s="37" customFormat="1" ht="51" customHeight="1"/>
    <row r="25" s="37" customFormat="1" ht="14.1" customHeight="1"/>
    <row r="26" ht="14.1" customHeight="1"/>
    <row r="27" ht="21.95" customHeight="1"/>
    <row r="28" ht="24.95" customHeight="1"/>
    <row r="29" ht="24.95" customHeight="1"/>
    <row r="30" ht="24.95" customHeight="1"/>
    <row r="31" ht="24.95" customHeight="1"/>
    <row r="32" ht="24.95" customHeight="1"/>
    <row r="33" ht="24.95" customHeight="1"/>
    <row r="34" ht="21.95" customHeight="1"/>
    <row r="35" ht="21.7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</sheetData>
  <mergeCells count="5">
    <mergeCell ref="D1:F1"/>
    <mergeCell ref="D2:F2"/>
    <mergeCell ref="H2:L2"/>
    <mergeCell ref="D3:F3"/>
    <mergeCell ref="D4:F4"/>
  </mergeCells>
  <conditionalFormatting sqref="G7">
    <cfRule type="expression" dxfId="0" priority="100">
      <formula>AND($E7&lt;&gt;"",$G7&lt;&gt;"",IFERROR($G7&lt;&gt;VLOOKUP($E7,'SENARAI PLAK'!$A$2:$B$159,2,FALSE),FALSE))</formula>
    </cfRule>
  </conditionalFormatting>
  <conditionalFormatting sqref="G8">
    <cfRule type="expression" dxfId="0" priority="101">
      <formula>AND($E8&lt;&gt;"",$G8&lt;&gt;"",IFERROR($G8&lt;&gt;VLOOKUP($E8,'SENARAI PLAK'!$A$2:$B$159,2,FALSE),FALSE))</formula>
    </cfRule>
  </conditionalFormatting>
  <conditionalFormatting sqref="G9">
    <cfRule type="expression" dxfId="0" priority="102">
      <formula>AND($E9&lt;&gt;"",$G9&lt;&gt;"",IFERROR($G9&lt;&gt;VLOOKUP($E9,'SENARAI PLAK'!$A$2:$B$159,2,FALSE),FALSE))</formula>
    </cfRule>
  </conditionalFormatting>
  <conditionalFormatting sqref="G10">
    <cfRule type="expression" dxfId="0" priority="103">
      <formula>AND($E10&lt;&gt;"",$G10&lt;&gt;"",IFERROR($G10&lt;&gt;VLOOKUP($E10,'SENARAI PLAK'!$A$2:$B$159,2,FALSE),FALSE))</formula>
    </cfRule>
  </conditionalFormatting>
  <conditionalFormatting sqref="G11">
    <cfRule type="expression" dxfId="0" priority="104">
      <formula>AND($E11&lt;&gt;"",$G11&lt;&gt;"",IFERROR($G11&lt;&gt;VLOOKUP($E11,'SENARAI PLAK'!$A$2:$B$159,2,FALSE),FALSE))</formula>
    </cfRule>
  </conditionalFormatting>
  <conditionalFormatting sqref="G12">
    <cfRule type="expression" dxfId="0" priority="105">
      <formula>AND($E12&lt;&gt;"",$G12&lt;&gt;"",IFERROR($G12&lt;&gt;VLOOKUP($E12,'SENARAI PLAK'!$A$2:$B$159,2,FALSE),FALSE))</formula>
    </cfRule>
  </conditionalFormatting>
  <conditionalFormatting sqref="G13">
    <cfRule type="expression" dxfId="0" priority="106">
      <formula>AND($E13&lt;&gt;"",$G13&lt;&gt;"",IFERROR($G13&lt;&gt;VLOOKUP($E13,'SENARAI PLAK'!$A$2:$B$159,2,FALSE),FALSE))</formula>
    </cfRule>
  </conditionalFormatting>
  <conditionalFormatting sqref="G14">
    <cfRule type="expression" dxfId="0" priority="107">
      <formula>AND($E14&lt;&gt;"",$G14&lt;&gt;"",IFERROR($G14&lt;&gt;VLOOKUP($E14,'SENARAI PLAK'!$A$2:$B$159,2,FALSE),FALSE))</formula>
    </cfRule>
  </conditionalFormatting>
  <conditionalFormatting sqref="G15">
    <cfRule type="expression" dxfId="0" priority="108">
      <formula>AND($E15&lt;&gt;"",$G15&lt;&gt;"",IFERROR($G15&lt;&gt;VLOOKUP($E15,'SENARAI PLAK'!$A$2:$B$159,2,FALSE),FALSE))</formula>
    </cfRule>
  </conditionalFormatting>
  <conditionalFormatting sqref="G16">
    <cfRule type="expression" dxfId="0" priority="109">
      <formula>AND($E16&lt;&gt;"",$G16&lt;&gt;"",IFERROR($G16&lt;&gt;VLOOKUP($E16,'SENARAI PLAK'!$A$2:$B$159,2,FALSE),FALSE))</formula>
    </cfRule>
  </conditionalFormatting>
  <conditionalFormatting sqref="G17">
    <cfRule type="expression" dxfId="0" priority="110">
      <formula>AND($E17&lt;&gt;"",$G17&lt;&gt;"",IFERROR($G17&lt;&gt;VLOOKUP($E17,'SENARAI PLAK'!$A$2:$B$159,2,FALSE),FALSE))</formula>
    </cfRule>
  </conditionalFormatting>
  <dataValidations count="1">
    <dataValidation type="list" allowBlank="1" showErrorMessage="1" errorTitle="JENIS PLAK" error="Pilih Jenis Plak dari senarai." sqref="E7:E17">
      <formula1>'SENARAI PLAK'!$A$2:$A$159</formula1>
    </dataValidation>
  </dataValidations>
  <pageMargins left="1.00972222222222" right="0.329861111111111" top="0.472222222222222" bottom="0.75" header="0.511805555555556" footer="0.511805555555556"/>
  <pageSetup paperSize="9" scale="78" orientation="portrait" horizontalDpi="300" verticalDpi="300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zoomScale="99" zoomScaleNormal="99" workbookViewId="0">
      <selection activeCell="C10" sqref="C10"/>
    </sheetView>
  </sheetViews>
  <sheetFormatPr defaultColWidth="9" defaultRowHeight="16.8"/>
  <cols>
    <col min="1" max="1" width="34.2890625" customWidth="1"/>
    <col min="2" max="2" width="16.859375" customWidth="1"/>
    <col min="3" max="3" width="16.4296875" customWidth="1"/>
    <col min="4" max="4" width="17.6875" customWidth="1"/>
    <col min="5" max="5" width="14.75" customWidth="1"/>
    <col min="7" max="7" width="18.9375" customWidth="1"/>
    <col min="8" max="8" width="18.4921875" customWidth="1"/>
    <col min="9" max="9" width="31.21875" customWidth="1"/>
  </cols>
  <sheetData>
    <row r="1" ht="26" customHeight="1" spans="1:7">
      <c r="A1" s="31"/>
      <c r="B1" s="31"/>
      <c r="C1" s="32" t="s">
        <v>12</v>
      </c>
    </row>
    <row r="2" ht="56" customHeight="1" spans="1:7">
      <c r="A2" s="33"/>
      <c r="B2" s="33"/>
      <c r="C2" s="34"/>
      <c r="D2" s="35"/>
      <c r="E2" s="35"/>
      <c r="G2" s="36"/>
    </row>
    <row r="3" ht="36.95" customHeight="1" spans="1:7">
      <c r="A3" s="37"/>
      <c r="B3" s="37"/>
      <c r="C3" s="38"/>
      <c r="D3" s="39"/>
      <c r="E3" s="35"/>
    </row>
    <row r="4" ht="36.95" customHeight="1" spans="1:7">
      <c r="A4" s="37"/>
      <c r="B4" s="37"/>
      <c r="C4" s="34"/>
      <c r="D4" s="35"/>
      <c r="E4" s="35"/>
    </row>
    <row r="5" ht="17.6" customHeight="1" spans="1:7">
      <c r="A5" s="37"/>
      <c r="B5" s="37"/>
      <c r="C5" s="40"/>
      <c r="D5" s="40"/>
      <c r="E5" s="40"/>
    </row>
    <row r="6" ht="17.6" customHeight="1" spans="1:7">
      <c r="A6" s="31"/>
      <c r="B6" s="31"/>
      <c r="C6" s="31"/>
      <c r="D6" s="31"/>
      <c r="E6" s="31"/>
    </row>
    <row r="7" ht="24" customHeight="1" spans="1:7">
      <c r="A7" s="41" t="s">
        <v>62</v>
      </c>
      <c r="B7" s="42" t="s">
        <v>15</v>
      </c>
      <c r="C7" s="42" t="s">
        <v>6</v>
      </c>
      <c r="D7" s="42" t="s">
        <v>89</v>
      </c>
      <c r="E7" s="43" t="s">
        <v>90</v>
      </c>
    </row>
    <row r="8" ht="24" customHeight="1" spans="1:7">
      <c r="A8" s="41" t="s">
        <v>46</v>
      </c>
      <c r="B8" s="44"/>
      <c r="C8" s="44"/>
      <c r="D8" s="44" t="str">
        <f>IF(C8="","",IFERROR(VLOOKUP(C8,'SENARAI PLAK'!$A$2:$B$159,2,FALSE),""))</f>
        <v/>
      </c>
      <c r="E8" s="45">
        <f t="shared" ref="E8:E17" si="0">IFERROR(D8*B8,0)</f>
        <v>0</v>
      </c>
    </row>
    <row r="9" ht="24" customHeight="1" spans="1:7">
      <c r="A9" s="41" t="s">
        <v>47</v>
      </c>
      <c r="B9" s="44"/>
      <c r="C9" s="44"/>
      <c r="D9" s="44" t="str">
        <f>IF(C9="","",IFERROR(VLOOKUP(C9,'SENARAI PLAK'!$A$2:$B$159,2,FALSE),""))</f>
        <v/>
      </c>
      <c r="E9" s="45">
        <f t="shared" si="0"/>
        <v>0</v>
      </c>
    </row>
    <row r="10" ht="24" customHeight="1" spans="1:7">
      <c r="A10" s="41" t="s">
        <v>48</v>
      </c>
      <c r="B10" s="44"/>
      <c r="C10" s="44"/>
      <c r="D10" s="44" t="str">
        <f>IF(C10="","",IFERROR(VLOOKUP(C10,'SENARAI PLAK'!$A$2:$B$159,2,FALSE),""))</f>
        <v/>
      </c>
      <c r="E10" s="45">
        <f t="shared" si="0"/>
        <v>0</v>
      </c>
    </row>
    <row r="11" ht="24" customHeight="1" spans="1:7">
      <c r="A11" s="41" t="s">
        <v>53</v>
      </c>
      <c r="B11" s="44"/>
      <c r="C11" s="44"/>
      <c r="D11" s="44" t="str">
        <f>IF(C11="","",IFERROR(VLOOKUP(C11,'SENARAI PLAK'!$A$2:$B$159,2,FALSE),""))</f>
        <v/>
      </c>
      <c r="E11" s="45">
        <f t="shared" si="0"/>
        <v>0</v>
      </c>
    </row>
    <row r="12" ht="24" customHeight="1" spans="1:7">
      <c r="A12" s="41" t="s">
        <v>54</v>
      </c>
      <c r="B12" s="44"/>
      <c r="C12" s="44"/>
      <c r="D12" s="44" t="str">
        <f>IF(C12="","",IFERROR(VLOOKUP(C12,'SENARAI PLAK'!$A$2:$B$159,2,FALSE),""))</f>
        <v/>
      </c>
      <c r="E12" s="45">
        <f t="shared" si="0"/>
        <v>0</v>
      </c>
    </row>
    <row r="13" ht="24" customHeight="1" spans="1:7">
      <c r="A13" s="41" t="s">
        <v>55</v>
      </c>
      <c r="B13" s="44"/>
      <c r="C13" s="44"/>
      <c r="D13" s="44" t="str">
        <f>IF(C13="","",IFERROR(VLOOKUP(C13,'SENARAI PLAK'!$A$2:$B$159,2,FALSE),""))</f>
        <v/>
      </c>
      <c r="E13" s="45">
        <f t="shared" si="0"/>
        <v>0</v>
      </c>
    </row>
    <row r="14" ht="24" customHeight="1" spans="1:7">
      <c r="A14" s="46"/>
      <c r="B14" s="44"/>
      <c r="C14" s="44"/>
      <c r="D14" s="44" t="str">
        <f>IF(C14="","",IFERROR(VLOOKUP(C14,'SENARAI PLAK'!$A$2:$B$159,2,FALSE),""))</f>
        <v/>
      </c>
      <c r="E14" s="45">
        <f t="shared" si="0"/>
        <v>0</v>
      </c>
    </row>
    <row r="15" ht="24" customHeight="1" spans="1:7">
      <c r="A15" s="47"/>
      <c r="B15" s="44"/>
      <c r="C15" s="44"/>
      <c r="D15" s="44" t="str">
        <f>IF(C15="","",IFERROR(VLOOKUP(C15,'SENARAI PLAK'!$A$2:$B$159,2,FALSE),""))</f>
        <v/>
      </c>
      <c r="E15" s="45">
        <f t="shared" si="0"/>
        <v>0</v>
      </c>
    </row>
    <row r="16" ht="24" customHeight="1" spans="1:7">
      <c r="A16" s="47"/>
      <c r="B16" s="44"/>
      <c r="C16" s="44"/>
      <c r="D16" s="44" t="str">
        <f>IF(C16="","",IFERROR(VLOOKUP(C16,'SENARAI PLAK'!$A$2:$B$159,2,FALSE),""))</f>
        <v/>
      </c>
      <c r="E16" s="45">
        <f t="shared" si="0"/>
        <v>0</v>
      </c>
    </row>
    <row r="17" ht="24" customHeight="1" spans="1:5">
      <c r="A17" s="47"/>
      <c r="B17" s="44"/>
      <c r="C17" s="44"/>
      <c r="D17" s="44" t="str">
        <f>IF(C17="","",IFERROR(VLOOKUP(C17,'SENARAI PLAK'!$A$2:$B$159,2,FALSE),""))</f>
        <v/>
      </c>
      <c r="E17" s="45">
        <f t="shared" si="0"/>
        <v>0</v>
      </c>
    </row>
    <row r="18" ht="24" customHeight="1" spans="1:5">
      <c r="A18" s="47" t="s">
        <v>58</v>
      </c>
      <c r="B18" s="48">
        <f>SUM(B8:B17)</f>
        <v>0</v>
      </c>
      <c r="C18" s="42"/>
      <c r="D18" s="42"/>
      <c r="E18" s="45">
        <f>SUM(E8:E17)</f>
        <v>0</v>
      </c>
    </row>
    <row r="19" ht="17.6" customHeight="1" spans="1:5">
      <c r="A19" s="31"/>
      <c r="B19" s="31"/>
      <c r="C19" s="31"/>
      <c r="D19" s="31"/>
      <c r="E19" s="31"/>
    </row>
    <row r="20" ht="17.6" customHeight="1" spans="1:5">
      <c r="A20" s="31"/>
      <c r="B20" s="49"/>
      <c r="C20" s="49"/>
      <c r="D20" s="49"/>
    </row>
    <row r="21" ht="17.6" customHeight="1" spans="1:5">
      <c r="A21" s="31"/>
      <c r="B21" s="31"/>
      <c r="C21" s="31"/>
      <c r="D21" s="31"/>
    </row>
    <row r="22" ht="17.6" customHeight="1" spans="1:5">
      <c r="A22" s="31"/>
      <c r="B22" s="31"/>
      <c r="C22" s="31"/>
      <c r="D22" s="31"/>
    </row>
    <row r="23" ht="17.6" customHeight="1" spans="1:5">
      <c r="A23" s="31"/>
      <c r="B23" s="31"/>
      <c r="C23" s="31"/>
      <c r="D23" s="31"/>
    </row>
  </sheetData>
  <mergeCells count="5">
    <mergeCell ref="C1:E1"/>
    <mergeCell ref="C2:E2"/>
    <mergeCell ref="G2:I2"/>
    <mergeCell ref="C3:E3"/>
    <mergeCell ref="C4:E4"/>
  </mergeCells>
  <conditionalFormatting sqref="D8">
    <cfRule type="expression" dxfId="0" priority="100">
      <formula>AND($C8&lt;&gt;"",$D8&lt;&gt;"",IFERROR($D8&lt;&gt;VLOOKUP($C8,'SENARAI PLAK'!$A$2:$B$159,2,FALSE),FALSE))</formula>
    </cfRule>
  </conditionalFormatting>
  <conditionalFormatting sqref="D9">
    <cfRule type="expression" dxfId="0" priority="101">
      <formula>AND($C9&lt;&gt;"",$D9&lt;&gt;"",IFERROR($D9&lt;&gt;VLOOKUP($C9,'SENARAI PLAK'!$A$2:$B$159,2,FALSE),FALSE))</formula>
    </cfRule>
  </conditionalFormatting>
  <conditionalFormatting sqref="D10">
    <cfRule type="expression" dxfId="0" priority="102">
      <formula>AND($C10&lt;&gt;"",$D10&lt;&gt;"",IFERROR($D10&lt;&gt;VLOOKUP($C10,'SENARAI PLAK'!$A$2:$B$159,2,FALSE),FALSE))</formula>
    </cfRule>
  </conditionalFormatting>
  <conditionalFormatting sqref="D11">
    <cfRule type="expression" dxfId="0" priority="103">
      <formula>AND($C11&lt;&gt;"",$D11&lt;&gt;"",IFERROR($D11&lt;&gt;VLOOKUP($C11,'SENARAI PLAK'!$A$2:$B$159,2,FALSE),FALSE))</formula>
    </cfRule>
  </conditionalFormatting>
  <conditionalFormatting sqref="D12">
    <cfRule type="expression" dxfId="0" priority="104">
      <formula>AND($C12&lt;&gt;"",$D12&lt;&gt;"",IFERROR($D12&lt;&gt;VLOOKUP($C12,'SENARAI PLAK'!$A$2:$B$159,2,FALSE),FALSE))</formula>
    </cfRule>
  </conditionalFormatting>
  <conditionalFormatting sqref="D13">
    <cfRule type="expression" dxfId="0" priority="105">
      <formula>AND($C13&lt;&gt;"",$D13&lt;&gt;"",IFERROR($D13&lt;&gt;VLOOKUP($C13,'SENARAI PLAK'!$A$2:$B$159,2,FALSE),FALSE))</formula>
    </cfRule>
  </conditionalFormatting>
  <conditionalFormatting sqref="D14">
    <cfRule type="expression" dxfId="0" priority="106">
      <formula>AND($C14&lt;&gt;"",$D14&lt;&gt;"",IFERROR($D14&lt;&gt;VLOOKUP($C14,'SENARAI PLAK'!$A$2:$B$159,2,FALSE),FALSE))</formula>
    </cfRule>
  </conditionalFormatting>
  <conditionalFormatting sqref="D15">
    <cfRule type="expression" dxfId="0" priority="107">
      <formula>AND($C15&lt;&gt;"",$D15&lt;&gt;"",IFERROR($D15&lt;&gt;VLOOKUP($C15,'SENARAI PLAK'!$A$2:$B$159,2,FALSE),FALSE))</formula>
    </cfRule>
  </conditionalFormatting>
  <conditionalFormatting sqref="D16">
    <cfRule type="expression" dxfId="0" priority="108">
      <formula>AND($C16&lt;&gt;"",$D16&lt;&gt;"",IFERROR($D16&lt;&gt;VLOOKUP($C16,'SENARAI PLAK'!$A$2:$B$159,2,FALSE),FALSE))</formula>
    </cfRule>
  </conditionalFormatting>
  <conditionalFormatting sqref="D17">
    <cfRule type="expression" dxfId="0" priority="109">
      <formula>AND($C17&lt;&gt;"",$D17&lt;&gt;"",IFERROR($D17&lt;&gt;VLOOKUP($C17,'SENARAI PLAK'!$A$2:$B$159,2,FALSE),FALSE))</formula>
    </cfRule>
  </conditionalFormatting>
  <dataValidations count="1">
    <dataValidation type="list" allowBlank="1" showErrorMessage="1" errorTitle="JENIS PLAK" error="Pilih Jenis Plak dari senarai." sqref="C8:C17">
      <formula1>'SENARAI PLAK'!$A$2:$A$159</formula1>
    </dataValidation>
  </dataValidation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4"/>
  <sheetViews>
    <sheetView showGridLines="0" tabSelected="1" zoomScale="103" zoomScaleNormal="103" topLeftCell="A2" workbookViewId="0">
      <selection activeCell="D33" sqref="D33"/>
    </sheetView>
  </sheetViews>
  <sheetFormatPr defaultColWidth="9" defaultRowHeight="16.8"/>
  <cols>
    <col min="1" max="1" width="8" customWidth="1"/>
    <col min="2" max="2" width="34" customWidth="1"/>
    <col min="3" max="5" width="22" customWidth="1"/>
    <col min="6" max="6" width="11" customWidth="1"/>
    <col min="7" max="7" width="20" customWidth="1"/>
    <col min="8" max="8" width="12" customWidth="1"/>
    <col min="9" max="9" width="13" customWidth="1"/>
    <col min="10" max="10" width="46" customWidth="1"/>
  </cols>
  <sheetData>
    <row r="1" ht="30" customHeight="1" spans="1:10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</row>
    <row r="2" ht="26" customHeight="1" spans="1:10">
      <c r="A2" s="3" t="s">
        <v>101</v>
      </c>
      <c r="B2" s="4"/>
      <c r="C2" s="4"/>
      <c r="D2" s="4"/>
      <c r="E2" s="4"/>
      <c r="F2" s="4"/>
      <c r="G2" s="4"/>
      <c r="H2" s="4"/>
      <c r="I2" s="4"/>
      <c r="J2" s="4"/>
    </row>
    <row r="3" spans="1:10">
      <c r="A3" s="5" t="s">
        <v>102</v>
      </c>
    </row>
    <row r="4" ht="30" customHeight="1" spans="1:10">
      <c r="A4" s="6" t="s">
        <v>103</v>
      </c>
      <c r="B4" s="7"/>
      <c r="C4" s="7"/>
      <c r="D4" s="7"/>
      <c r="E4" s="7"/>
      <c r="F4" s="8" t="s">
        <v>104</v>
      </c>
      <c r="G4" s="6" t="s">
        <v>105</v>
      </c>
      <c r="H4" s="7"/>
      <c r="I4" s="7"/>
      <c r="J4" s="7"/>
    </row>
    <row r="5" ht="40" customHeight="1" spans="1:10">
      <c r="A5" s="9" t="s">
        <v>106</v>
      </c>
      <c r="B5" s="10"/>
      <c r="C5" s="11"/>
      <c r="D5" s="11"/>
      <c r="E5" s="11"/>
      <c r="F5" s="12"/>
      <c r="G5" s="13" t="s">
        <v>107</v>
      </c>
      <c r="H5" s="14"/>
      <c r="I5" s="14"/>
      <c r="J5" s="14"/>
    </row>
    <row r="6" ht="30" customHeight="1" spans="1:10">
      <c r="A6" s="9" t="s">
        <v>108</v>
      </c>
      <c r="B6" s="10"/>
      <c r="C6" s="11"/>
      <c r="D6" s="11"/>
      <c r="E6" s="11"/>
      <c r="F6" s="12"/>
      <c r="G6" s="14"/>
      <c r="H6" s="14"/>
      <c r="I6" s="14"/>
      <c r="J6" s="14"/>
    </row>
    <row r="7" ht="30" customHeight="1" spans="1:10">
      <c r="A7" s="9" t="s">
        <v>109</v>
      </c>
      <c r="B7" s="10"/>
      <c r="C7" s="11"/>
      <c r="D7" s="11"/>
      <c r="E7" s="11"/>
      <c r="F7" s="12"/>
      <c r="G7" s="14"/>
      <c r="H7" s="14"/>
      <c r="I7" s="14"/>
      <c r="J7" s="14"/>
    </row>
    <row r="8" ht="30" customHeight="1" spans="1:10">
      <c r="A8" s="9" t="s">
        <v>110</v>
      </c>
      <c r="B8" s="10"/>
      <c r="C8" s="11"/>
      <c r="D8" s="11"/>
      <c r="E8" s="11"/>
      <c r="F8" s="12"/>
      <c r="G8" s="14"/>
      <c r="H8" s="14"/>
      <c r="I8" s="14"/>
      <c r="J8" s="14"/>
    </row>
    <row r="10" ht="30" customHeight="1" spans="1:10">
      <c r="A10" s="6" t="s">
        <v>111</v>
      </c>
      <c r="B10" s="7"/>
      <c r="C10" s="7"/>
      <c r="D10" s="7"/>
      <c r="E10" s="7"/>
      <c r="F10" s="7"/>
      <c r="G10" s="7"/>
      <c r="H10" s="7"/>
      <c r="I10" s="7"/>
      <c r="J10" s="7"/>
    </row>
    <row r="11" ht="32" customHeight="1" spans="1:10">
      <c r="A11" s="15" t="s">
        <v>112</v>
      </c>
      <c r="B11" s="16" t="s">
        <v>106</v>
      </c>
      <c r="C11" s="16" t="s">
        <v>108</v>
      </c>
      <c r="D11" s="16" t="s">
        <v>109</v>
      </c>
      <c r="E11" s="16" t="s">
        <v>110</v>
      </c>
      <c r="F11" s="15" t="s">
        <v>15</v>
      </c>
      <c r="G11" s="15" t="s">
        <v>6</v>
      </c>
      <c r="H11" s="15" t="s">
        <v>89</v>
      </c>
      <c r="I11" s="15" t="s">
        <v>90</v>
      </c>
      <c r="J11" s="15" t="s">
        <v>113</v>
      </c>
    </row>
    <row r="12" ht="17" spans="1:10">
      <c r="A12" s="17" t="s">
        <v>114</v>
      </c>
      <c r="B12" s="18"/>
      <c r="C12" s="18"/>
      <c r="D12" s="18"/>
      <c r="E12" s="18"/>
      <c r="F12" s="18">
        <v>5</v>
      </c>
      <c r="G12" s="18" t="s">
        <v>115</v>
      </c>
      <c r="H12" s="19">
        <f>IF(G12="","",IFERROR(VLOOKUP(G12,'SENARAI PLAK'!$A$2:$B$159,2,FALSE),""))</f>
        <v>12</v>
      </c>
      <c r="I12" s="19">
        <f t="shared" ref="I12:I53" si="0">IF(OR(F12="",H12=""),"",F12*H12)</f>
        <v>60</v>
      </c>
      <c r="J12" s="20" t="str">
        <f t="shared" ref="J12:J53" si="1">IF(F12="","",MID(IF(IF(B12="-","",IF(B12&lt;&gt;"",B12,""))="",""," / "&amp;IF(B12="-","",IF(B12&lt;&gt;"",B12,"")))&amp;IF(IF(C12="-","",IF(C12&lt;&gt;"",C12,$B$6))="",""," / "&amp;IF(C12="-","",IF(C12&lt;&gt;"",C12,$B$6)))&amp;IF(IF(D12="-","",IF(D12&lt;&gt;"",D12,$B$7))="",""," / "&amp;IF(D12="-","",IF(D12&lt;&gt;"",D12,$B$7)))&amp;IF(IF(E12="-","",IF(E12&lt;&gt;"",E12,$B$8))="",""," / "&amp;IF(E12="-","",IF(E12&lt;&gt;"",E12,$B$8))),4,500))</f>
        <v/>
      </c>
    </row>
    <row r="13" ht="17" spans="1:10">
      <c r="A13" s="17" t="s">
        <v>114</v>
      </c>
      <c r="B13" s="18"/>
      <c r="C13" s="18" t="s">
        <v>116</v>
      </c>
      <c r="D13" s="18"/>
      <c r="E13" s="18"/>
      <c r="F13" s="18">
        <v>2</v>
      </c>
      <c r="G13" s="18" t="s">
        <v>115</v>
      </c>
      <c r="H13" s="19">
        <f>IF(G13="","",IFERROR(VLOOKUP(G13,'SENARAI PLAK'!$A$2:$B$159,2,FALSE),""))</f>
        <v>12</v>
      </c>
      <c r="I13" s="19">
        <f t="shared" si="0"/>
        <v>24</v>
      </c>
      <c r="J13" s="20" t="str">
        <f t="shared" si="1"/>
        <v>NAIB JOHAN</v>
      </c>
    </row>
    <row r="14" ht="17" spans="1:10">
      <c r="A14" s="21">
        <v>1</v>
      </c>
      <c r="B14" s="22"/>
      <c r="C14" s="22"/>
      <c r="D14" s="22"/>
      <c r="E14" s="22"/>
      <c r="F14" s="22"/>
      <c r="G14" s="22"/>
      <c r="H14" s="23" t="str">
        <f>IF(G14="","",IFERROR(VLOOKUP(G14,'SENARAI PLAK'!$A$2:$B$159,2,FALSE),""))</f>
        <v/>
      </c>
      <c r="I14" s="24" t="str">
        <f t="shared" si="0"/>
        <v/>
      </c>
      <c r="J14" s="25" t="str">
        <f t="shared" si="1"/>
        <v/>
      </c>
    </row>
    <row r="15" ht="17" spans="1:10">
      <c r="A15" s="21">
        <v>2</v>
      </c>
      <c r="B15" s="22"/>
      <c r="C15" s="22"/>
      <c r="D15" s="22"/>
      <c r="E15" s="22"/>
      <c r="F15" s="22"/>
      <c r="G15" s="22"/>
      <c r="H15" s="23" t="str">
        <f>IF(G15="","",IFERROR(VLOOKUP(G15,'SENARAI PLAK'!$A$2:$B$159,2,FALSE),""))</f>
        <v/>
      </c>
      <c r="I15" s="24" t="str">
        <f t="shared" si="0"/>
        <v/>
      </c>
      <c r="J15" s="25" t="str">
        <f t="shared" si="1"/>
        <v/>
      </c>
    </row>
    <row r="16" ht="17" spans="1:10">
      <c r="A16" s="21">
        <v>3</v>
      </c>
      <c r="B16" s="22"/>
      <c r="C16" s="22"/>
      <c r="D16" s="22"/>
      <c r="E16" s="22"/>
      <c r="F16" s="22"/>
      <c r="G16" s="22"/>
      <c r="H16" s="23" t="str">
        <f>IF(G16="","",IFERROR(VLOOKUP(G16,'SENARAI PLAK'!$A$2:$B$159,2,FALSE),""))</f>
        <v/>
      </c>
      <c r="I16" s="24" t="str">
        <f t="shared" si="0"/>
        <v/>
      </c>
      <c r="J16" s="25" t="str">
        <f t="shared" si="1"/>
        <v/>
      </c>
    </row>
    <row r="17" ht="17" spans="1:10">
      <c r="A17" s="21">
        <v>4</v>
      </c>
      <c r="B17" s="22"/>
      <c r="C17" s="22"/>
      <c r="D17" s="22"/>
      <c r="E17" s="22"/>
      <c r="F17" s="22"/>
      <c r="G17" s="22"/>
      <c r="H17" s="23" t="str">
        <f>IF(G17="","",IFERROR(VLOOKUP(G17,'SENARAI PLAK'!$A$2:$B$159,2,FALSE),""))</f>
        <v/>
      </c>
      <c r="I17" s="24" t="str">
        <f t="shared" si="0"/>
        <v/>
      </c>
      <c r="J17" s="25" t="str">
        <f t="shared" si="1"/>
        <v/>
      </c>
    </row>
    <row r="18" ht="17" spans="1:10">
      <c r="A18" s="21">
        <v>5</v>
      </c>
      <c r="B18" s="22"/>
      <c r="C18" s="22"/>
      <c r="D18" s="22"/>
      <c r="E18" s="22"/>
      <c r="F18" s="22"/>
      <c r="G18" s="22"/>
      <c r="H18" s="23" t="str">
        <f>IF(G18="","",IFERROR(VLOOKUP(G18,'SENARAI PLAK'!$A$2:$B$159,2,FALSE),""))</f>
        <v/>
      </c>
      <c r="I18" s="24" t="str">
        <f t="shared" si="0"/>
        <v/>
      </c>
      <c r="J18" s="25" t="str">
        <f t="shared" si="1"/>
        <v/>
      </c>
    </row>
    <row r="19" ht="17" spans="1:10">
      <c r="A19" s="21">
        <v>6</v>
      </c>
      <c r="B19" s="22"/>
      <c r="C19" s="22"/>
      <c r="D19" s="22"/>
      <c r="E19" s="22"/>
      <c r="F19" s="22"/>
      <c r="G19" s="22"/>
      <c r="H19" s="23" t="str">
        <f>IF(G19="","",IFERROR(VLOOKUP(G19,'SENARAI PLAK'!$A$2:$B$159,2,FALSE),""))</f>
        <v/>
      </c>
      <c r="I19" s="24" t="str">
        <f t="shared" si="0"/>
        <v/>
      </c>
      <c r="J19" s="25" t="str">
        <f t="shared" si="1"/>
        <v/>
      </c>
    </row>
    <row r="20" ht="17" spans="1:10">
      <c r="A20" s="21">
        <v>7</v>
      </c>
      <c r="B20" s="22"/>
      <c r="C20" s="22"/>
      <c r="D20" s="22"/>
      <c r="E20" s="22"/>
      <c r="F20" s="22"/>
      <c r="G20" s="22"/>
      <c r="H20" s="23" t="str">
        <f>IF(G20="","",IFERROR(VLOOKUP(G20,'SENARAI PLAK'!$A$2:$B$159,2,FALSE),""))</f>
        <v/>
      </c>
      <c r="I20" s="24" t="str">
        <f t="shared" si="0"/>
        <v/>
      </c>
      <c r="J20" s="25" t="str">
        <f t="shared" si="1"/>
        <v/>
      </c>
    </row>
    <row r="21" ht="17" spans="1:10">
      <c r="A21" s="21">
        <v>8</v>
      </c>
      <c r="B21" s="22"/>
      <c r="C21" s="22"/>
      <c r="D21" s="22"/>
      <c r="E21" s="22"/>
      <c r="F21" s="22"/>
      <c r="G21" s="22"/>
      <c r="H21" s="23" t="str">
        <f>IF(G21="","",IFERROR(VLOOKUP(G21,'SENARAI PLAK'!$A$2:$B$159,2,FALSE),""))</f>
        <v/>
      </c>
      <c r="I21" s="24" t="str">
        <f t="shared" si="0"/>
        <v/>
      </c>
      <c r="J21" s="25" t="str">
        <f t="shared" si="1"/>
        <v/>
      </c>
    </row>
    <row r="22" ht="17" spans="1:10">
      <c r="A22" s="21">
        <v>9</v>
      </c>
      <c r="B22" s="22"/>
      <c r="C22" s="22"/>
      <c r="D22" s="22"/>
      <c r="E22" s="22"/>
      <c r="F22" s="22"/>
      <c r="G22" s="22"/>
      <c r="H22" s="23" t="str">
        <f>IF(G22="","",IFERROR(VLOOKUP(G22,'SENARAI PLAK'!$A$2:$B$159,2,FALSE),""))</f>
        <v/>
      </c>
      <c r="I22" s="24" t="str">
        <f t="shared" si="0"/>
        <v/>
      </c>
      <c r="J22" s="25" t="str">
        <f t="shared" si="1"/>
        <v/>
      </c>
    </row>
    <row r="23" ht="17" spans="1:10">
      <c r="A23" s="21">
        <v>10</v>
      </c>
      <c r="B23" s="22"/>
      <c r="C23" s="22"/>
      <c r="D23" s="22"/>
      <c r="E23" s="22"/>
      <c r="F23" s="22"/>
      <c r="G23" s="22"/>
      <c r="H23" s="23" t="str">
        <f>IF(G23="","",IFERROR(VLOOKUP(G23,'SENARAI PLAK'!$A$2:$B$159,2,FALSE),""))</f>
        <v/>
      </c>
      <c r="I23" s="24" t="str">
        <f t="shared" si="0"/>
        <v/>
      </c>
      <c r="J23" s="25" t="str">
        <f t="shared" si="1"/>
        <v/>
      </c>
    </row>
    <row r="24" ht="17" spans="1:10">
      <c r="A24" s="21">
        <v>11</v>
      </c>
      <c r="B24" s="22"/>
      <c r="C24" s="22"/>
      <c r="D24" s="22"/>
      <c r="E24" s="22"/>
      <c r="F24" s="22"/>
      <c r="G24" s="22"/>
      <c r="H24" s="23" t="str">
        <f>IF(G24="","",IFERROR(VLOOKUP(G24,'SENARAI PLAK'!$A$2:$B$159,2,FALSE),""))</f>
        <v/>
      </c>
      <c r="I24" s="24" t="str">
        <f t="shared" si="0"/>
        <v/>
      </c>
      <c r="J24" s="25" t="str">
        <f t="shared" si="1"/>
        <v/>
      </c>
    </row>
    <row r="25" ht="17" spans="1:10">
      <c r="A25" s="21">
        <v>12</v>
      </c>
      <c r="B25" s="22"/>
      <c r="C25" s="22"/>
      <c r="D25" s="22"/>
      <c r="E25" s="22"/>
      <c r="F25" s="22"/>
      <c r="G25" s="22"/>
      <c r="H25" s="23" t="str">
        <f>IF(G25="","",IFERROR(VLOOKUP(G25,'SENARAI PLAK'!$A$2:$B$159,2,FALSE),""))</f>
        <v/>
      </c>
      <c r="I25" s="24" t="str">
        <f t="shared" si="0"/>
        <v/>
      </c>
      <c r="J25" s="25" t="str">
        <f t="shared" si="1"/>
        <v/>
      </c>
    </row>
    <row r="26" ht="17" spans="1:10">
      <c r="A26" s="21">
        <v>13</v>
      </c>
      <c r="B26" s="22"/>
      <c r="C26" s="22"/>
      <c r="D26" s="22"/>
      <c r="E26" s="22"/>
      <c r="F26" s="22"/>
      <c r="G26" s="22"/>
      <c r="H26" s="23" t="str">
        <f>IF(G26="","",IFERROR(VLOOKUP(G26,'SENARAI PLAK'!$A$2:$B$159,2,FALSE),""))</f>
        <v/>
      </c>
      <c r="I26" s="24" t="str">
        <f t="shared" si="0"/>
        <v/>
      </c>
      <c r="J26" s="25" t="str">
        <f t="shared" si="1"/>
        <v/>
      </c>
    </row>
    <row r="27" ht="17" spans="1:10">
      <c r="A27" s="21">
        <v>14</v>
      </c>
      <c r="B27" s="22"/>
      <c r="C27" s="22"/>
      <c r="D27" s="22"/>
      <c r="E27" s="22"/>
      <c r="F27" s="22"/>
      <c r="G27" s="22"/>
      <c r="H27" s="23" t="str">
        <f>IF(G27="","",IFERROR(VLOOKUP(G27,'SENARAI PLAK'!$A$2:$B$159,2,FALSE),""))</f>
        <v/>
      </c>
      <c r="I27" s="24" t="str">
        <f t="shared" si="0"/>
        <v/>
      </c>
      <c r="J27" s="25" t="str">
        <f t="shared" si="1"/>
        <v/>
      </c>
    </row>
    <row r="28" ht="17" spans="1:10">
      <c r="A28" s="21">
        <v>15</v>
      </c>
      <c r="B28" s="22"/>
      <c r="C28" s="22"/>
      <c r="D28" s="22"/>
      <c r="E28" s="22"/>
      <c r="F28" s="22"/>
      <c r="G28" s="22"/>
      <c r="H28" s="23" t="str">
        <f>IF(G28="","",IFERROR(VLOOKUP(G28,'SENARAI PLAK'!$A$2:$B$159,2,FALSE),""))</f>
        <v/>
      </c>
      <c r="I28" s="24" t="str">
        <f t="shared" si="0"/>
        <v/>
      </c>
      <c r="J28" s="25" t="str">
        <f t="shared" si="1"/>
        <v/>
      </c>
    </row>
    <row r="29" ht="17" spans="1:10">
      <c r="A29" s="21">
        <v>16</v>
      </c>
      <c r="B29" s="22"/>
      <c r="C29" s="22"/>
      <c r="D29" s="22"/>
      <c r="E29" s="22"/>
      <c r="F29" s="22"/>
      <c r="G29" s="22"/>
      <c r="H29" s="23" t="str">
        <f>IF(G29="","",IFERROR(VLOOKUP(G29,'SENARAI PLAK'!$A$2:$B$159,2,FALSE),""))</f>
        <v/>
      </c>
      <c r="I29" s="24" t="str">
        <f t="shared" si="0"/>
        <v/>
      </c>
      <c r="J29" s="25" t="str">
        <f t="shared" si="1"/>
        <v/>
      </c>
    </row>
    <row r="30" ht="17" spans="1:10">
      <c r="A30" s="21">
        <v>17</v>
      </c>
      <c r="B30" s="22"/>
      <c r="C30" s="22"/>
      <c r="D30" s="22"/>
      <c r="E30" s="22"/>
      <c r="F30" s="22"/>
      <c r="G30" s="22"/>
      <c r="H30" s="23" t="str">
        <f>IF(G30="","",IFERROR(VLOOKUP(G30,'SENARAI PLAK'!$A$2:$B$159,2,FALSE),""))</f>
        <v/>
      </c>
      <c r="I30" s="24" t="str">
        <f t="shared" si="0"/>
        <v/>
      </c>
      <c r="J30" s="25" t="str">
        <f t="shared" si="1"/>
        <v/>
      </c>
    </row>
    <row r="31" ht="17" spans="1:10">
      <c r="A31" s="21">
        <v>18</v>
      </c>
      <c r="B31" s="22"/>
      <c r="C31" s="22"/>
      <c r="D31" s="22"/>
      <c r="E31" s="22"/>
      <c r="F31" s="22"/>
      <c r="G31" s="22"/>
      <c r="H31" s="23" t="str">
        <f>IF(G31="","",IFERROR(VLOOKUP(G31,'SENARAI PLAK'!$A$2:$B$159,2,FALSE),""))</f>
        <v/>
      </c>
      <c r="I31" s="24" t="str">
        <f t="shared" si="0"/>
        <v/>
      </c>
      <c r="J31" s="25" t="str">
        <f t="shared" si="1"/>
        <v/>
      </c>
    </row>
    <row r="32" ht="17" spans="1:10">
      <c r="A32" s="21">
        <v>19</v>
      </c>
      <c r="B32" s="22"/>
      <c r="C32" s="22"/>
      <c r="D32" s="22"/>
      <c r="E32" s="22"/>
      <c r="F32" s="22"/>
      <c r="G32" s="22"/>
      <c r="H32" s="23" t="str">
        <f>IF(G32="","",IFERROR(VLOOKUP(G32,'SENARAI PLAK'!$A$2:$B$159,2,FALSE),""))</f>
        <v/>
      </c>
      <c r="I32" s="24" t="str">
        <f t="shared" si="0"/>
        <v/>
      </c>
      <c r="J32" s="25" t="str">
        <f t="shared" si="1"/>
        <v/>
      </c>
    </row>
    <row r="33" ht="17" spans="1:10">
      <c r="A33" s="21">
        <v>20</v>
      </c>
      <c r="B33" s="22"/>
      <c r="C33" s="22"/>
      <c r="D33" s="22"/>
      <c r="E33" s="22"/>
      <c r="F33" s="22"/>
      <c r="G33" s="22"/>
      <c r="H33" s="23" t="str">
        <f>IF(G33="","",IFERROR(VLOOKUP(G33,'SENARAI PLAK'!$A$2:$B$159,2,FALSE),""))</f>
        <v/>
      </c>
      <c r="I33" s="24" t="str">
        <f t="shared" si="0"/>
        <v/>
      </c>
      <c r="J33" s="25" t="str">
        <f t="shared" si="1"/>
        <v/>
      </c>
    </row>
    <row r="34" ht="17" spans="1:10">
      <c r="A34" s="21">
        <v>21</v>
      </c>
      <c r="B34" s="22"/>
      <c r="C34" s="22"/>
      <c r="D34" s="22"/>
      <c r="E34" s="22"/>
      <c r="F34" s="22"/>
      <c r="G34" s="22"/>
      <c r="H34" s="23" t="str">
        <f>IF(G34="","",IFERROR(VLOOKUP(G34,'SENARAI PLAK'!$A$2:$B$159,2,FALSE),""))</f>
        <v/>
      </c>
      <c r="I34" s="24" t="str">
        <f t="shared" si="0"/>
        <v/>
      </c>
      <c r="J34" s="25" t="str">
        <f t="shared" si="1"/>
        <v/>
      </c>
    </row>
    <row r="35" ht="17" spans="1:10">
      <c r="A35" s="21">
        <v>22</v>
      </c>
      <c r="B35" s="22"/>
      <c r="C35" s="22"/>
      <c r="D35" s="22"/>
      <c r="E35" s="22"/>
      <c r="F35" s="22"/>
      <c r="G35" s="22"/>
      <c r="H35" s="23" t="str">
        <f>IF(G35="","",IFERROR(VLOOKUP(G35,'SENARAI PLAK'!$A$2:$B$159,2,FALSE),""))</f>
        <v/>
      </c>
      <c r="I35" s="24" t="str">
        <f t="shared" si="0"/>
        <v/>
      </c>
      <c r="J35" s="25" t="str">
        <f t="shared" si="1"/>
        <v/>
      </c>
    </row>
    <row r="36" ht="17" spans="1:10">
      <c r="A36" s="21">
        <v>23</v>
      </c>
      <c r="B36" s="22"/>
      <c r="C36" s="22"/>
      <c r="D36" s="22"/>
      <c r="E36" s="22"/>
      <c r="F36" s="22"/>
      <c r="G36" s="22"/>
      <c r="H36" s="23" t="str">
        <f>IF(G36="","",IFERROR(VLOOKUP(G36,'SENARAI PLAK'!$A$2:$B$159,2,FALSE),""))</f>
        <v/>
      </c>
      <c r="I36" s="24" t="str">
        <f t="shared" si="0"/>
        <v/>
      </c>
      <c r="J36" s="25" t="str">
        <f t="shared" si="1"/>
        <v/>
      </c>
    </row>
    <row r="37" ht="17" spans="1:10">
      <c r="A37" s="21">
        <v>24</v>
      </c>
      <c r="B37" s="22"/>
      <c r="C37" s="22"/>
      <c r="D37" s="22"/>
      <c r="E37" s="22"/>
      <c r="F37" s="22"/>
      <c r="G37" s="22"/>
      <c r="H37" s="23" t="str">
        <f>IF(G37="","",IFERROR(VLOOKUP(G37,'SENARAI PLAK'!$A$2:$B$159,2,FALSE),""))</f>
        <v/>
      </c>
      <c r="I37" s="24" t="str">
        <f t="shared" si="0"/>
        <v/>
      </c>
      <c r="J37" s="25" t="str">
        <f t="shared" si="1"/>
        <v/>
      </c>
    </row>
    <row r="38" ht="17" spans="1:10">
      <c r="A38" s="21">
        <v>25</v>
      </c>
      <c r="B38" s="22"/>
      <c r="C38" s="22"/>
      <c r="D38" s="22"/>
      <c r="E38" s="22"/>
      <c r="F38" s="22"/>
      <c r="G38" s="22"/>
      <c r="H38" s="23" t="str">
        <f>IF(G38="","",IFERROR(VLOOKUP(G38,'SENARAI PLAK'!$A$2:$B$159,2,FALSE),""))</f>
        <v/>
      </c>
      <c r="I38" s="24" t="str">
        <f t="shared" si="0"/>
        <v/>
      </c>
      <c r="J38" s="25" t="str">
        <f t="shared" si="1"/>
        <v/>
      </c>
    </row>
    <row r="39" ht="17" spans="1:10">
      <c r="A39" s="21">
        <v>26</v>
      </c>
      <c r="B39" s="22"/>
      <c r="C39" s="22"/>
      <c r="D39" s="22"/>
      <c r="E39" s="22"/>
      <c r="F39" s="22"/>
      <c r="G39" s="22"/>
      <c r="H39" s="23" t="str">
        <f>IF(G39="","",IFERROR(VLOOKUP(G39,'SENARAI PLAK'!$A$2:$B$159,2,FALSE),""))</f>
        <v/>
      </c>
      <c r="I39" s="24" t="str">
        <f t="shared" si="0"/>
        <v/>
      </c>
      <c r="J39" s="25" t="str">
        <f t="shared" si="1"/>
        <v/>
      </c>
    </row>
    <row r="40" ht="17" spans="1:10">
      <c r="A40" s="21">
        <v>27</v>
      </c>
      <c r="B40" s="22"/>
      <c r="C40" s="22"/>
      <c r="D40" s="22"/>
      <c r="E40" s="22"/>
      <c r="F40" s="22"/>
      <c r="G40" s="22"/>
      <c r="H40" s="23" t="str">
        <f>IF(G40="","",IFERROR(VLOOKUP(G40,'SENARAI PLAK'!$A$2:$B$159,2,FALSE),""))</f>
        <v/>
      </c>
      <c r="I40" s="24" t="str">
        <f t="shared" si="0"/>
        <v/>
      </c>
      <c r="J40" s="25" t="str">
        <f t="shared" si="1"/>
        <v/>
      </c>
    </row>
    <row r="41" ht="17" spans="1:10">
      <c r="A41" s="21">
        <v>28</v>
      </c>
      <c r="B41" s="22"/>
      <c r="C41" s="22"/>
      <c r="D41" s="22"/>
      <c r="E41" s="22"/>
      <c r="F41" s="22"/>
      <c r="G41" s="22"/>
      <c r="H41" s="23" t="str">
        <f>IF(G41="","",IFERROR(VLOOKUP(G41,'SENARAI PLAK'!$A$2:$B$159,2,FALSE),""))</f>
        <v/>
      </c>
      <c r="I41" s="24" t="str">
        <f t="shared" si="0"/>
        <v/>
      </c>
      <c r="J41" s="25" t="str">
        <f t="shared" si="1"/>
        <v/>
      </c>
    </row>
    <row r="42" ht="17" spans="1:10">
      <c r="A42" s="21">
        <v>29</v>
      </c>
      <c r="B42" s="22"/>
      <c r="C42" s="22"/>
      <c r="D42" s="22"/>
      <c r="E42" s="22"/>
      <c r="F42" s="22"/>
      <c r="G42" s="22"/>
      <c r="H42" s="23" t="str">
        <f>IF(G42="","",IFERROR(VLOOKUP(G42,'SENARAI PLAK'!$A$2:$B$159,2,FALSE),""))</f>
        <v/>
      </c>
      <c r="I42" s="24" t="str">
        <f t="shared" si="0"/>
        <v/>
      </c>
      <c r="J42" s="25" t="str">
        <f t="shared" si="1"/>
        <v/>
      </c>
    </row>
    <row r="43" ht="17" spans="1:10">
      <c r="A43" s="21">
        <v>30</v>
      </c>
      <c r="B43" s="22"/>
      <c r="C43" s="22"/>
      <c r="D43" s="22"/>
      <c r="E43" s="22"/>
      <c r="F43" s="22"/>
      <c r="G43" s="22"/>
      <c r="H43" s="23" t="str">
        <f>IF(G43="","",IFERROR(VLOOKUP(G43,'SENARAI PLAK'!$A$2:$B$159,2,FALSE),""))</f>
        <v/>
      </c>
      <c r="I43" s="24" t="str">
        <f t="shared" si="0"/>
        <v/>
      </c>
      <c r="J43" s="25" t="str">
        <f t="shared" si="1"/>
        <v/>
      </c>
    </row>
    <row r="44" ht="17" spans="1:10">
      <c r="A44" s="21">
        <v>31</v>
      </c>
      <c r="B44" s="22"/>
      <c r="C44" s="22"/>
      <c r="D44" s="22"/>
      <c r="E44" s="22"/>
      <c r="F44" s="22"/>
      <c r="G44" s="22"/>
      <c r="H44" s="23" t="str">
        <f>IF(G44="","",IFERROR(VLOOKUP(G44,'SENARAI PLAK'!$A$2:$B$159,2,FALSE),""))</f>
        <v/>
      </c>
      <c r="I44" s="24" t="str">
        <f t="shared" si="0"/>
        <v/>
      </c>
      <c r="J44" s="25" t="str">
        <f t="shared" si="1"/>
        <v/>
      </c>
    </row>
    <row r="45" ht="17" spans="1:10">
      <c r="A45" s="21">
        <v>32</v>
      </c>
      <c r="B45" s="22"/>
      <c r="C45" s="22"/>
      <c r="D45" s="22"/>
      <c r="E45" s="22"/>
      <c r="F45" s="22"/>
      <c r="G45" s="22"/>
      <c r="H45" s="23" t="str">
        <f>IF(G45="","",IFERROR(VLOOKUP(G45,'SENARAI PLAK'!$A$2:$B$159,2,FALSE),""))</f>
        <v/>
      </c>
      <c r="I45" s="24" t="str">
        <f t="shared" si="0"/>
        <v/>
      </c>
      <c r="J45" s="25" t="str">
        <f t="shared" si="1"/>
        <v/>
      </c>
    </row>
    <row r="46" ht="17" spans="1:10">
      <c r="A46" s="21">
        <v>33</v>
      </c>
      <c r="B46" s="22"/>
      <c r="C46" s="22"/>
      <c r="D46" s="22"/>
      <c r="E46" s="22"/>
      <c r="F46" s="22"/>
      <c r="G46" s="22"/>
      <c r="H46" s="23" t="str">
        <f>IF(G46="","",IFERROR(VLOOKUP(G46,'SENARAI PLAK'!$A$2:$B$159,2,FALSE),""))</f>
        <v/>
      </c>
      <c r="I46" s="24" t="str">
        <f t="shared" si="0"/>
        <v/>
      </c>
      <c r="J46" s="25" t="str">
        <f t="shared" si="1"/>
        <v/>
      </c>
    </row>
    <row r="47" ht="17" spans="1:10">
      <c r="A47" s="21">
        <v>34</v>
      </c>
      <c r="B47" s="22"/>
      <c r="C47" s="22"/>
      <c r="D47" s="22"/>
      <c r="E47" s="22"/>
      <c r="F47" s="22"/>
      <c r="G47" s="22"/>
      <c r="H47" s="23" t="str">
        <f>IF(G47="","",IFERROR(VLOOKUP(G47,'SENARAI PLAK'!$A$2:$B$159,2,FALSE),""))</f>
        <v/>
      </c>
      <c r="I47" s="24" t="str">
        <f t="shared" si="0"/>
        <v/>
      </c>
      <c r="J47" s="25" t="str">
        <f t="shared" si="1"/>
        <v/>
      </c>
    </row>
    <row r="48" ht="17" spans="1:10">
      <c r="A48" s="21">
        <v>35</v>
      </c>
      <c r="B48" s="22"/>
      <c r="C48" s="22"/>
      <c r="D48" s="22"/>
      <c r="E48" s="22"/>
      <c r="F48" s="22"/>
      <c r="G48" s="22"/>
      <c r="H48" s="23" t="str">
        <f>IF(G48="","",IFERROR(VLOOKUP(G48,'SENARAI PLAK'!$A$2:$B$159,2,FALSE),""))</f>
        <v/>
      </c>
      <c r="I48" s="24" t="str">
        <f t="shared" si="0"/>
        <v/>
      </c>
      <c r="J48" s="25" t="str">
        <f t="shared" si="1"/>
        <v/>
      </c>
    </row>
    <row r="49" ht="17" spans="1:10">
      <c r="A49" s="21">
        <v>36</v>
      </c>
      <c r="B49" s="22"/>
      <c r="C49" s="22"/>
      <c r="D49" s="22"/>
      <c r="E49" s="22"/>
      <c r="F49" s="22"/>
      <c r="G49" s="22"/>
      <c r="H49" s="23" t="str">
        <f>IF(G49="","",IFERROR(VLOOKUP(G49,'SENARAI PLAK'!$A$2:$B$159,2,FALSE),""))</f>
        <v/>
      </c>
      <c r="I49" s="24" t="str">
        <f t="shared" si="0"/>
        <v/>
      </c>
      <c r="J49" s="25" t="str">
        <f t="shared" si="1"/>
        <v/>
      </c>
    </row>
    <row r="50" ht="17" spans="1:10">
      <c r="A50" s="21">
        <v>37</v>
      </c>
      <c r="B50" s="22"/>
      <c r="C50" s="22"/>
      <c r="D50" s="22"/>
      <c r="E50" s="22"/>
      <c r="F50" s="22"/>
      <c r="G50" s="22"/>
      <c r="H50" s="23" t="str">
        <f>IF(G50="","",IFERROR(VLOOKUP(G50,'SENARAI PLAK'!$A$2:$B$159,2,FALSE),""))</f>
        <v/>
      </c>
      <c r="I50" s="24" t="str">
        <f t="shared" si="0"/>
        <v/>
      </c>
      <c r="J50" s="25" t="str">
        <f t="shared" si="1"/>
        <v/>
      </c>
    </row>
    <row r="51" ht="17" spans="1:10">
      <c r="A51" s="21">
        <v>38</v>
      </c>
      <c r="B51" s="22"/>
      <c r="C51" s="22"/>
      <c r="D51" s="22"/>
      <c r="E51" s="22"/>
      <c r="F51" s="22"/>
      <c r="G51" s="22"/>
      <c r="H51" s="23" t="str">
        <f>IF(G51="","",IFERROR(VLOOKUP(G51,'SENARAI PLAK'!$A$2:$B$159,2,FALSE),""))</f>
        <v/>
      </c>
      <c r="I51" s="24" t="str">
        <f t="shared" si="0"/>
        <v/>
      </c>
      <c r="J51" s="25" t="str">
        <f t="shared" si="1"/>
        <v/>
      </c>
    </row>
    <row r="52" ht="17" spans="1:10">
      <c r="A52" s="21">
        <v>39</v>
      </c>
      <c r="B52" s="22"/>
      <c r="C52" s="22"/>
      <c r="D52" s="22"/>
      <c r="E52" s="22"/>
      <c r="F52" s="22"/>
      <c r="G52" s="22"/>
      <c r="H52" s="23" t="str">
        <f>IF(G52="","",IFERROR(VLOOKUP(G52,'SENARAI PLAK'!$A$2:$B$159,2,FALSE),""))</f>
        <v/>
      </c>
      <c r="I52" s="24" t="str">
        <f t="shared" si="0"/>
        <v/>
      </c>
      <c r="J52" s="25" t="str">
        <f t="shared" si="1"/>
        <v/>
      </c>
    </row>
    <row r="53" ht="17" spans="1:10">
      <c r="A53" s="21">
        <v>40</v>
      </c>
      <c r="B53" s="22"/>
      <c r="C53" s="22"/>
      <c r="D53" s="22"/>
      <c r="E53" s="22"/>
      <c r="F53" s="22"/>
      <c r="G53" s="22"/>
      <c r="H53" s="23" t="str">
        <f>IF(G53="","",IFERROR(VLOOKUP(G53,'SENARAI PLAK'!$A$2:$B$159,2,FALSE),""))</f>
        <v/>
      </c>
      <c r="I53" s="24" t="str">
        <f t="shared" si="0"/>
        <v/>
      </c>
      <c r="J53" s="25" t="str">
        <f t="shared" si="1"/>
        <v/>
      </c>
    </row>
    <row r="54" ht="34" customHeight="1" spans="1:10">
      <c r="A54" s="26" t="s">
        <v>117</v>
      </c>
      <c r="B54" s="7"/>
      <c r="C54" s="7"/>
      <c r="D54" s="7"/>
      <c r="E54" s="7"/>
      <c r="F54" s="27">
        <f>SUM(F14:F53)</f>
        <v>0</v>
      </c>
      <c r="G54" s="28" t="s">
        <v>118</v>
      </c>
      <c r="H54" s="29"/>
      <c r="I54" s="30">
        <f>SUM(I14:I53)</f>
        <v>0</v>
      </c>
    </row>
  </sheetData>
  <sheetProtection sheet="1" formatColumns="0" formatRows="0" insertRows="0"/>
  <mergeCells count="12">
    <mergeCell ref="A1:J1"/>
    <mergeCell ref="A2:J2"/>
    <mergeCell ref="A3:J3"/>
    <mergeCell ref="A4:E4"/>
    <mergeCell ref="G4:J4"/>
    <mergeCell ref="B5:E5"/>
    <mergeCell ref="B6:E6"/>
    <mergeCell ref="B7:E7"/>
    <mergeCell ref="B8:E8"/>
    <mergeCell ref="A10:J10"/>
    <mergeCell ref="A54:E54"/>
    <mergeCell ref="G5:J8"/>
  </mergeCells>
  <conditionalFormatting sqref="B5:E5">
    <cfRule type="expression" dxfId="3" priority="1">
      <formula>$F$5="MERAH"</formula>
    </cfRule>
  </conditionalFormatting>
  <conditionalFormatting sqref="B6:E6">
    <cfRule type="expression" dxfId="3" priority="2">
      <formula>$F$6="MERAH"</formula>
    </cfRule>
  </conditionalFormatting>
  <conditionalFormatting sqref="B7:E7">
    <cfRule type="expression" dxfId="3" priority="3">
      <formula>$F$7="MERAH"</formula>
    </cfRule>
  </conditionalFormatting>
  <conditionalFormatting sqref="B8:E8">
    <cfRule type="expression" dxfId="3" priority="4">
      <formula>$F$8="MERAH"</formula>
    </cfRule>
  </conditionalFormatting>
  <conditionalFormatting sqref="B14:B53">
    <cfRule type="expression" dxfId="3" priority="5">
      <formula>$F$5="MERAH"</formula>
    </cfRule>
  </conditionalFormatting>
  <conditionalFormatting sqref="C14:C53">
    <cfRule type="expression" dxfId="3" priority="6">
      <formula>$F$6="MERAH"</formula>
    </cfRule>
  </conditionalFormatting>
  <conditionalFormatting sqref="D14:D53">
    <cfRule type="expression" dxfId="3" priority="7">
      <formula>$F$7="MERAH"</formula>
    </cfRule>
  </conditionalFormatting>
  <conditionalFormatting sqref="E14:E53">
    <cfRule type="expression" dxfId="3" priority="8">
      <formula>$F$8="MERAH"</formula>
    </cfRule>
  </conditionalFormatting>
  <conditionalFormatting sqref="H14:H53">
    <cfRule type="expression" dxfId="0" priority="9">
      <formula>AND($G14&lt;&gt;"",$H14&lt;&gt;"",IFERROR($H14&lt;&gt;VLOOKUP($G14,'SENARAI PLAK'!$A$2:$B$159,2,FALSE),FALSE))</formula>
    </cfRule>
  </conditionalFormatting>
  <dataValidations count="4">
    <dataValidation type="list" allowBlank="1" showErrorMessage="1" errorTitle="WARNA MERAH?" error="Pilih MERAH atau biarkan kosong." sqref="F5:F8">
      <formula1>"MERAH"</formula1>
    </dataValidation>
    <dataValidation type="whole" operator="greaterThanOrEqual" allowBlank="1" showErrorMessage="1" errorTitle="KUANTITI" error="KUANTITI mesti nombor (1, 2, 3 …)." sqref="F14:F53">
      <formula1>1</formula1>
    </dataValidation>
    <dataValidation type="list" allowBlank="1" showErrorMessage="1" errorTitle="JENIS PLAK" error="Pilih Jenis Plak dari senarai." sqref="G14:G53">
      <formula1>'SENARAI PLAK'!$A$2:$A$159</formula1>
    </dataValidation>
    <dataValidation type="decimal" operator="greaterThanOrEqual" allowBlank="1" showErrorMessage="1" errorTitle="HARGA" error="HARGA mesti nombor." sqref="H14:H53">
      <formula1>0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9"/>
  <sheetViews>
    <sheetView workbookViewId="0">
      <selection activeCell="A1" sqref="A1"/>
    </sheetView>
  </sheetViews>
  <sheetFormatPr defaultColWidth="9" defaultRowHeight="16.8" outlineLevelCol="1"/>
  <cols>
    <col min="1" max="1" width="40" customWidth="1"/>
    <col min="2" max="2" width="12" customWidth="1"/>
  </cols>
  <sheetData>
    <row r="1" spans="1:2">
      <c r="A1" t="s">
        <v>6</v>
      </c>
      <c r="B1" t="s">
        <v>119</v>
      </c>
    </row>
    <row r="2" spans="1:2">
      <c r="A2" t="s">
        <v>120</v>
      </c>
      <c r="B2">
        <v>20</v>
      </c>
    </row>
    <row r="3" spans="1:2">
      <c r="A3" t="s">
        <v>121</v>
      </c>
      <c r="B3">
        <v>10</v>
      </c>
    </row>
    <row r="4" spans="1:2">
      <c r="A4" t="s">
        <v>122</v>
      </c>
      <c r="B4">
        <v>10</v>
      </c>
    </row>
    <row r="5" spans="1:2">
      <c r="A5" t="s">
        <v>115</v>
      </c>
      <c r="B5">
        <v>12</v>
      </c>
    </row>
    <row r="6" spans="1:2">
      <c r="A6" t="s">
        <v>123</v>
      </c>
      <c r="B6">
        <v>12</v>
      </c>
    </row>
    <row r="7" spans="1:2">
      <c r="A7" t="s">
        <v>124</v>
      </c>
      <c r="B7">
        <v>10</v>
      </c>
    </row>
    <row r="8" spans="1:2">
      <c r="A8" t="s">
        <v>125</v>
      </c>
      <c r="B8">
        <v>9</v>
      </c>
    </row>
    <row r="9" spans="1:2">
      <c r="A9" t="s">
        <v>126</v>
      </c>
      <c r="B9">
        <v>8</v>
      </c>
    </row>
    <row r="10" spans="1:2">
      <c r="A10" t="s">
        <v>127</v>
      </c>
      <c r="B10">
        <v>17</v>
      </c>
    </row>
    <row r="11" spans="1:2">
      <c r="A11" t="s">
        <v>128</v>
      </c>
      <c r="B11">
        <v>25</v>
      </c>
    </row>
    <row r="12" spans="1:2">
      <c r="A12" t="s">
        <v>129</v>
      </c>
      <c r="B12">
        <v>25</v>
      </c>
    </row>
    <row r="13" spans="1:2">
      <c r="A13" t="s">
        <v>130</v>
      </c>
      <c r="B13">
        <v>0</v>
      </c>
    </row>
    <row r="14" spans="1:2">
      <c r="A14" t="s">
        <v>131</v>
      </c>
      <c r="B14">
        <v>0</v>
      </c>
    </row>
    <row r="15" spans="1:2">
      <c r="A15" t="s">
        <v>132</v>
      </c>
      <c r="B15">
        <v>0</v>
      </c>
    </row>
    <row r="16" spans="1:2">
      <c r="A16" t="s">
        <v>133</v>
      </c>
      <c r="B16">
        <v>0</v>
      </c>
    </row>
    <row r="17" spans="1:2">
      <c r="A17" t="s">
        <v>134</v>
      </c>
      <c r="B17">
        <v>0</v>
      </c>
    </row>
    <row r="18" spans="1:2">
      <c r="A18" t="s">
        <v>135</v>
      </c>
      <c r="B18">
        <v>0</v>
      </c>
    </row>
    <row r="19" spans="1:2">
      <c r="A19" t="s">
        <v>136</v>
      </c>
      <c r="B19">
        <v>0</v>
      </c>
    </row>
    <row r="20" spans="1:2">
      <c r="A20" t="s">
        <v>137</v>
      </c>
      <c r="B20">
        <v>0</v>
      </c>
    </row>
    <row r="21" spans="1:2">
      <c r="A21" t="s">
        <v>138</v>
      </c>
      <c r="B21">
        <v>0</v>
      </c>
    </row>
    <row r="22" spans="1:2">
      <c r="A22" t="s">
        <v>139</v>
      </c>
      <c r="B22">
        <v>0</v>
      </c>
    </row>
    <row r="23" spans="1:2">
      <c r="A23" t="s">
        <v>140</v>
      </c>
      <c r="B23">
        <v>0</v>
      </c>
    </row>
    <row r="24" spans="1:2">
      <c r="A24" t="s">
        <v>141</v>
      </c>
      <c r="B24">
        <v>0</v>
      </c>
    </row>
    <row r="25" spans="1:2">
      <c r="A25" t="s">
        <v>142</v>
      </c>
      <c r="B25">
        <v>0</v>
      </c>
    </row>
    <row r="26" spans="1:2">
      <c r="A26" t="s">
        <v>143</v>
      </c>
      <c r="B26">
        <v>0</v>
      </c>
    </row>
    <row r="27" spans="1:2">
      <c r="A27" t="s">
        <v>144</v>
      </c>
      <c r="B27">
        <v>0</v>
      </c>
    </row>
    <row r="28" spans="1:2">
      <c r="A28" t="s">
        <v>145</v>
      </c>
      <c r="B28">
        <v>0</v>
      </c>
    </row>
    <row r="29" spans="1:2">
      <c r="A29" t="s">
        <v>146</v>
      </c>
      <c r="B29">
        <v>7.5</v>
      </c>
    </row>
    <row r="30" spans="1:2">
      <c r="A30" t="s">
        <v>147</v>
      </c>
      <c r="B30">
        <v>7.5</v>
      </c>
    </row>
    <row r="31" spans="1:2">
      <c r="A31" t="s">
        <v>148</v>
      </c>
      <c r="B31">
        <v>7.5</v>
      </c>
    </row>
    <row r="32" spans="1:2">
      <c r="A32" t="s">
        <v>149</v>
      </c>
      <c r="B32">
        <v>0</v>
      </c>
    </row>
    <row r="33" spans="1:2">
      <c r="A33" t="s">
        <v>150</v>
      </c>
      <c r="B33">
        <v>0</v>
      </c>
    </row>
    <row r="34" spans="1:2">
      <c r="A34" t="s">
        <v>151</v>
      </c>
      <c r="B34">
        <v>0</v>
      </c>
    </row>
    <row r="35" spans="1:2">
      <c r="A35" t="s">
        <v>152</v>
      </c>
      <c r="B35">
        <v>6</v>
      </c>
    </row>
    <row r="36" spans="1:2">
      <c r="A36" t="s">
        <v>153</v>
      </c>
      <c r="B36">
        <v>7</v>
      </c>
    </row>
    <row r="37" spans="1:2">
      <c r="A37" t="s">
        <v>154</v>
      </c>
      <c r="B37">
        <v>15</v>
      </c>
    </row>
    <row r="38" spans="1:2">
      <c r="A38" t="s">
        <v>155</v>
      </c>
      <c r="B38">
        <v>0</v>
      </c>
    </row>
    <row r="39" spans="1:2">
      <c r="A39" t="s">
        <v>156</v>
      </c>
      <c r="B39">
        <v>0</v>
      </c>
    </row>
    <row r="40" spans="1:2">
      <c r="A40" t="s">
        <v>157</v>
      </c>
      <c r="B40">
        <v>6</v>
      </c>
    </row>
    <row r="41" spans="1:2">
      <c r="A41" t="s">
        <v>158</v>
      </c>
      <c r="B41">
        <v>5</v>
      </c>
    </row>
    <row r="42" spans="1:2">
      <c r="A42" t="s">
        <v>159</v>
      </c>
      <c r="B42">
        <v>4</v>
      </c>
    </row>
    <row r="43" spans="1:2">
      <c r="A43" t="s">
        <v>160</v>
      </c>
      <c r="B43">
        <v>0</v>
      </c>
    </row>
    <row r="44" spans="1:2">
      <c r="A44" t="s">
        <v>161</v>
      </c>
      <c r="B44">
        <v>0</v>
      </c>
    </row>
    <row r="45" spans="1:2">
      <c r="A45" t="s">
        <v>162</v>
      </c>
      <c r="B45">
        <v>6</v>
      </c>
    </row>
    <row r="46" spans="1:2">
      <c r="A46" t="s">
        <v>163</v>
      </c>
      <c r="B46">
        <v>5</v>
      </c>
    </row>
    <row r="47" spans="1:2">
      <c r="A47" t="s">
        <v>164</v>
      </c>
      <c r="B47">
        <v>4</v>
      </c>
    </row>
    <row r="48" spans="1:2">
      <c r="A48" t="s">
        <v>165</v>
      </c>
      <c r="B48">
        <v>0</v>
      </c>
    </row>
    <row r="49" spans="1:2">
      <c r="A49" t="s">
        <v>166</v>
      </c>
      <c r="B49">
        <v>0</v>
      </c>
    </row>
    <row r="50" spans="1:2">
      <c r="A50" t="s">
        <v>167</v>
      </c>
      <c r="B50">
        <v>6</v>
      </c>
    </row>
    <row r="51" spans="1:2">
      <c r="A51" t="s">
        <v>168</v>
      </c>
      <c r="B51">
        <v>5</v>
      </c>
    </row>
    <row r="52" spans="1:2">
      <c r="A52" t="s">
        <v>169</v>
      </c>
      <c r="B52">
        <v>4</v>
      </c>
    </row>
    <row r="53" spans="1:2">
      <c r="A53" t="s">
        <v>170</v>
      </c>
      <c r="B53">
        <v>0</v>
      </c>
    </row>
    <row r="54" spans="1:2">
      <c r="A54" t="s">
        <v>171</v>
      </c>
      <c r="B54">
        <v>0</v>
      </c>
    </row>
    <row r="55" spans="1:2">
      <c r="A55" t="s">
        <v>172</v>
      </c>
      <c r="B55">
        <v>6</v>
      </c>
    </row>
    <row r="56" spans="1:2">
      <c r="A56" t="s">
        <v>173</v>
      </c>
      <c r="B56">
        <v>5</v>
      </c>
    </row>
    <row r="57" spans="1:2">
      <c r="A57" t="s">
        <v>174</v>
      </c>
      <c r="B57">
        <v>4</v>
      </c>
    </row>
    <row r="58" spans="1:2">
      <c r="A58" t="s">
        <v>175</v>
      </c>
      <c r="B58">
        <v>0</v>
      </c>
    </row>
    <row r="59" spans="1:2">
      <c r="A59" t="s">
        <v>176</v>
      </c>
      <c r="B59">
        <v>0</v>
      </c>
    </row>
    <row r="60" spans="1:2">
      <c r="A60" t="s">
        <v>177</v>
      </c>
      <c r="B60">
        <v>6</v>
      </c>
    </row>
    <row r="61" spans="1:2">
      <c r="A61" t="s">
        <v>178</v>
      </c>
      <c r="B61">
        <v>5</v>
      </c>
    </row>
    <row r="62" spans="1:2">
      <c r="A62" t="s">
        <v>179</v>
      </c>
      <c r="B62">
        <v>4</v>
      </c>
    </row>
    <row r="63" spans="1:2">
      <c r="A63" t="s">
        <v>180</v>
      </c>
      <c r="B63">
        <v>0</v>
      </c>
    </row>
    <row r="64" spans="1:2">
      <c r="A64" t="s">
        <v>181</v>
      </c>
      <c r="B64">
        <v>0</v>
      </c>
    </row>
    <row r="65" spans="1:2">
      <c r="A65" t="s">
        <v>182</v>
      </c>
      <c r="B65">
        <v>6</v>
      </c>
    </row>
    <row r="66" spans="1:2">
      <c r="A66" t="s">
        <v>183</v>
      </c>
      <c r="B66">
        <v>5</v>
      </c>
    </row>
    <row r="67" spans="1:2">
      <c r="A67" t="s">
        <v>184</v>
      </c>
      <c r="B67">
        <v>4</v>
      </c>
    </row>
    <row r="68" spans="1:2">
      <c r="A68" t="s">
        <v>185</v>
      </c>
      <c r="B68">
        <v>0</v>
      </c>
    </row>
    <row r="69" spans="1:2">
      <c r="A69" t="s">
        <v>186</v>
      </c>
      <c r="B69">
        <v>1</v>
      </c>
    </row>
    <row r="70" spans="1:2">
      <c r="A70" t="s">
        <v>187</v>
      </c>
      <c r="B70">
        <v>6</v>
      </c>
    </row>
    <row r="71" spans="1:2">
      <c r="A71" t="s">
        <v>188</v>
      </c>
      <c r="B71">
        <v>5</v>
      </c>
    </row>
    <row r="72" spans="1:2">
      <c r="A72" t="s">
        <v>189</v>
      </c>
      <c r="B72">
        <v>4</v>
      </c>
    </row>
    <row r="73" spans="1:2">
      <c r="A73" t="s">
        <v>190</v>
      </c>
      <c r="B73">
        <v>0</v>
      </c>
    </row>
    <row r="74" spans="1:2">
      <c r="A74" t="s">
        <v>191</v>
      </c>
      <c r="B74">
        <v>6</v>
      </c>
    </row>
    <row r="75" spans="1:2">
      <c r="A75" t="s">
        <v>192</v>
      </c>
      <c r="B75">
        <v>1</v>
      </c>
    </row>
    <row r="76" spans="1:2">
      <c r="A76" t="s">
        <v>193</v>
      </c>
      <c r="B76">
        <v>5</v>
      </c>
    </row>
    <row r="77" spans="1:2">
      <c r="A77" t="s">
        <v>194</v>
      </c>
      <c r="B77">
        <v>4</v>
      </c>
    </row>
    <row r="78" spans="1:2">
      <c r="A78" t="s">
        <v>195</v>
      </c>
      <c r="B78">
        <v>0</v>
      </c>
    </row>
    <row r="79" spans="1:2">
      <c r="A79" t="s">
        <v>196</v>
      </c>
      <c r="B79">
        <v>1</v>
      </c>
    </row>
    <row r="80" spans="1:2">
      <c r="A80" t="s">
        <v>197</v>
      </c>
      <c r="B80">
        <v>6</v>
      </c>
    </row>
    <row r="81" spans="1:2">
      <c r="A81" t="s">
        <v>198</v>
      </c>
      <c r="B81">
        <v>5</v>
      </c>
    </row>
    <row r="82" spans="1:2">
      <c r="A82" t="s">
        <v>199</v>
      </c>
      <c r="B82">
        <v>4</v>
      </c>
    </row>
    <row r="83" spans="1:2">
      <c r="A83" t="s">
        <v>200</v>
      </c>
      <c r="B83">
        <v>1</v>
      </c>
    </row>
    <row r="84" spans="1:2">
      <c r="A84" t="s">
        <v>201</v>
      </c>
      <c r="B84">
        <v>0</v>
      </c>
    </row>
    <row r="85" spans="1:2">
      <c r="A85" t="s">
        <v>202</v>
      </c>
      <c r="B85">
        <v>6</v>
      </c>
    </row>
    <row r="86" spans="1:2">
      <c r="A86" t="s">
        <v>203</v>
      </c>
      <c r="B86">
        <v>5</v>
      </c>
    </row>
    <row r="87" spans="1:2">
      <c r="A87" t="s">
        <v>204</v>
      </c>
      <c r="B87">
        <v>4</v>
      </c>
    </row>
    <row r="88" spans="1:2">
      <c r="A88" t="s">
        <v>205</v>
      </c>
      <c r="B88">
        <v>0</v>
      </c>
    </row>
    <row r="89" spans="1:2">
      <c r="A89" t="s">
        <v>206</v>
      </c>
      <c r="B89">
        <v>1</v>
      </c>
    </row>
    <row r="90" spans="1:2">
      <c r="A90" t="s">
        <v>207</v>
      </c>
      <c r="B90">
        <v>6</v>
      </c>
    </row>
    <row r="91" spans="1:2">
      <c r="A91" t="s">
        <v>208</v>
      </c>
      <c r="B91">
        <v>5</v>
      </c>
    </row>
    <row r="92" spans="1:2">
      <c r="A92" t="s">
        <v>209</v>
      </c>
      <c r="B92">
        <v>4</v>
      </c>
    </row>
    <row r="93" spans="1:2">
      <c r="A93" t="s">
        <v>210</v>
      </c>
      <c r="B93">
        <v>1</v>
      </c>
    </row>
    <row r="94" spans="1:2">
      <c r="A94" t="s">
        <v>211</v>
      </c>
      <c r="B94">
        <v>0</v>
      </c>
    </row>
    <row r="95" spans="1:2">
      <c r="A95" t="s">
        <v>212</v>
      </c>
      <c r="B95">
        <v>6</v>
      </c>
    </row>
    <row r="96" spans="1:2">
      <c r="A96" t="s">
        <v>213</v>
      </c>
      <c r="B96">
        <v>5</v>
      </c>
    </row>
    <row r="97" spans="1:2">
      <c r="A97" t="s">
        <v>214</v>
      </c>
      <c r="B97">
        <v>4</v>
      </c>
    </row>
    <row r="98" spans="1:2">
      <c r="A98" t="s">
        <v>215</v>
      </c>
      <c r="B98">
        <v>16</v>
      </c>
    </row>
    <row r="99" spans="1:2">
      <c r="A99" t="s">
        <v>216</v>
      </c>
      <c r="B99">
        <v>19</v>
      </c>
    </row>
    <row r="100" spans="1:2">
      <c r="A100" t="s">
        <v>217</v>
      </c>
      <c r="B100">
        <v>22</v>
      </c>
    </row>
    <row r="101" spans="1:2">
      <c r="A101" t="s">
        <v>218</v>
      </c>
      <c r="B101">
        <v>25</v>
      </c>
    </row>
    <row r="102" spans="1:2">
      <c r="A102" t="s">
        <v>219</v>
      </c>
      <c r="B102">
        <v>33</v>
      </c>
    </row>
    <row r="103" spans="1:2">
      <c r="A103" t="s">
        <v>220</v>
      </c>
      <c r="B103">
        <v>33</v>
      </c>
    </row>
    <row r="104" spans="1:2">
      <c r="A104" t="s">
        <v>221</v>
      </c>
      <c r="B104">
        <v>29</v>
      </c>
    </row>
    <row r="105" spans="1:2">
      <c r="A105" t="s">
        <v>222</v>
      </c>
      <c r="B105">
        <v>27</v>
      </c>
    </row>
    <row r="106" spans="1:2">
      <c r="A106" t="s">
        <v>223</v>
      </c>
      <c r="B106">
        <v>0</v>
      </c>
    </row>
    <row r="107" spans="1:2">
      <c r="A107" t="s">
        <v>224</v>
      </c>
      <c r="B107">
        <v>0</v>
      </c>
    </row>
    <row r="108" spans="1:2">
      <c r="A108" t="s">
        <v>225</v>
      </c>
      <c r="B108">
        <v>42</v>
      </c>
    </row>
    <row r="109" spans="1:2">
      <c r="A109" t="s">
        <v>226</v>
      </c>
      <c r="B109">
        <v>45</v>
      </c>
    </row>
    <row r="110" spans="1:2">
      <c r="A110" t="s">
        <v>227</v>
      </c>
      <c r="B110">
        <v>0</v>
      </c>
    </row>
    <row r="111" spans="1:2">
      <c r="A111" t="s">
        <v>228</v>
      </c>
      <c r="B111">
        <v>0</v>
      </c>
    </row>
    <row r="112" spans="1:2">
      <c r="A112" t="s">
        <v>229</v>
      </c>
      <c r="B112">
        <v>59</v>
      </c>
    </row>
    <row r="113" spans="1:2">
      <c r="A113" t="s">
        <v>230</v>
      </c>
      <c r="B113">
        <v>59</v>
      </c>
    </row>
    <row r="114" spans="1:2">
      <c r="A114" t="s">
        <v>231</v>
      </c>
      <c r="B114">
        <v>0</v>
      </c>
    </row>
    <row r="115" spans="1:2">
      <c r="A115" t="s">
        <v>232</v>
      </c>
      <c r="B115">
        <v>0</v>
      </c>
    </row>
    <row r="116" spans="1:2">
      <c r="A116" t="s">
        <v>233</v>
      </c>
      <c r="B116">
        <v>0</v>
      </c>
    </row>
    <row r="117" spans="1:2">
      <c r="A117" t="s">
        <v>234</v>
      </c>
      <c r="B117">
        <v>0</v>
      </c>
    </row>
    <row r="118" spans="1:2">
      <c r="A118" t="s">
        <v>235</v>
      </c>
      <c r="B118">
        <v>0</v>
      </c>
    </row>
    <row r="119" spans="1:2">
      <c r="A119" t="s">
        <v>236</v>
      </c>
      <c r="B119">
        <v>0</v>
      </c>
    </row>
    <row r="120" spans="1:2">
      <c r="A120" t="s">
        <v>237</v>
      </c>
      <c r="B120">
        <v>0</v>
      </c>
    </row>
    <row r="121" spans="1:2">
      <c r="A121" t="s">
        <v>238</v>
      </c>
      <c r="B121">
        <v>0</v>
      </c>
    </row>
    <row r="122" spans="1:2">
      <c r="A122" t="s">
        <v>239</v>
      </c>
      <c r="B122">
        <v>0</v>
      </c>
    </row>
    <row r="123" spans="1:2">
      <c r="A123" t="s">
        <v>240</v>
      </c>
      <c r="B123">
        <v>0</v>
      </c>
    </row>
    <row r="124" spans="1:2">
      <c r="A124" t="s">
        <v>241</v>
      </c>
      <c r="B124">
        <v>0</v>
      </c>
    </row>
    <row r="125" spans="1:2">
      <c r="A125" t="s">
        <v>242</v>
      </c>
      <c r="B125">
        <v>0</v>
      </c>
    </row>
    <row r="126" spans="1:2">
      <c r="A126" t="s">
        <v>243</v>
      </c>
      <c r="B126">
        <v>0</v>
      </c>
    </row>
    <row r="127" spans="1:2">
      <c r="A127" t="s">
        <v>244</v>
      </c>
      <c r="B127">
        <v>0</v>
      </c>
    </row>
    <row r="128" spans="1:2">
      <c r="A128" t="s">
        <v>245</v>
      </c>
      <c r="B128">
        <v>0</v>
      </c>
    </row>
    <row r="129" spans="1:2">
      <c r="A129" t="s">
        <v>246</v>
      </c>
      <c r="B129">
        <v>0</v>
      </c>
    </row>
    <row r="130" spans="1:2">
      <c r="A130" t="s">
        <v>247</v>
      </c>
      <c r="B130">
        <v>0</v>
      </c>
    </row>
    <row r="131" spans="1:2">
      <c r="A131" t="s">
        <v>248</v>
      </c>
      <c r="B131">
        <v>0</v>
      </c>
    </row>
    <row r="132" spans="1:2">
      <c r="A132" t="s">
        <v>249</v>
      </c>
      <c r="B132">
        <v>0</v>
      </c>
    </row>
    <row r="133" spans="1:2">
      <c r="A133" t="s">
        <v>250</v>
      </c>
      <c r="B133">
        <v>0</v>
      </c>
    </row>
    <row r="134" spans="1:2">
      <c r="A134" t="s">
        <v>251</v>
      </c>
      <c r="B134">
        <v>0</v>
      </c>
    </row>
    <row r="135" spans="1:2">
      <c r="A135" t="s">
        <v>252</v>
      </c>
      <c r="B135">
        <v>0</v>
      </c>
    </row>
    <row r="136" spans="1:2">
      <c r="A136" t="s">
        <v>253</v>
      </c>
      <c r="B136">
        <v>0</v>
      </c>
    </row>
    <row r="137" spans="1:2">
      <c r="A137" t="s">
        <v>254</v>
      </c>
      <c r="B137">
        <v>0</v>
      </c>
    </row>
    <row r="138" spans="1:2">
      <c r="A138" t="s">
        <v>255</v>
      </c>
      <c r="B138">
        <v>0</v>
      </c>
    </row>
    <row r="139" spans="1:2">
      <c r="A139" t="s">
        <v>256</v>
      </c>
      <c r="B139">
        <v>0</v>
      </c>
    </row>
    <row r="140" spans="1:2">
      <c r="A140" t="s">
        <v>257</v>
      </c>
      <c r="B140">
        <v>0</v>
      </c>
    </row>
    <row r="141" spans="1:2">
      <c r="A141" t="s">
        <v>258</v>
      </c>
      <c r="B141">
        <v>0</v>
      </c>
    </row>
    <row r="142" spans="1:2">
      <c r="A142" t="s">
        <v>259</v>
      </c>
      <c r="B142">
        <v>0</v>
      </c>
    </row>
    <row r="143" spans="1:2">
      <c r="A143" t="s">
        <v>260</v>
      </c>
      <c r="B143">
        <v>0</v>
      </c>
    </row>
    <row r="144" spans="1:2">
      <c r="A144" t="s">
        <v>261</v>
      </c>
      <c r="B144">
        <v>0</v>
      </c>
    </row>
    <row r="145" spans="1:2">
      <c r="A145" t="s">
        <v>262</v>
      </c>
      <c r="B145">
        <v>0</v>
      </c>
    </row>
    <row r="146" spans="1:2">
      <c r="A146" t="s">
        <v>263</v>
      </c>
      <c r="B146">
        <v>0</v>
      </c>
    </row>
    <row r="147" spans="1:2">
      <c r="A147" t="s">
        <v>264</v>
      </c>
      <c r="B147">
        <v>0</v>
      </c>
    </row>
    <row r="148" spans="1:2">
      <c r="A148" t="s">
        <v>265</v>
      </c>
      <c r="B148">
        <v>0</v>
      </c>
    </row>
    <row r="149" spans="1:2">
      <c r="A149" t="s">
        <v>266</v>
      </c>
      <c r="B149">
        <v>0</v>
      </c>
    </row>
    <row r="150" spans="1:2">
      <c r="A150" t="s">
        <v>267</v>
      </c>
      <c r="B150">
        <v>0</v>
      </c>
    </row>
    <row r="151" spans="1:2">
      <c r="A151" t="s">
        <v>268</v>
      </c>
      <c r="B151">
        <v>0</v>
      </c>
    </row>
    <row r="152" spans="1:2">
      <c r="A152" t="s">
        <v>269</v>
      </c>
      <c r="B152">
        <v>0</v>
      </c>
    </row>
    <row r="153" spans="1:2">
      <c r="A153" t="s">
        <v>270</v>
      </c>
      <c r="B153">
        <v>0</v>
      </c>
    </row>
    <row r="154" spans="1:2">
      <c r="A154" t="s">
        <v>271</v>
      </c>
      <c r="B154">
        <v>0</v>
      </c>
    </row>
    <row r="155" spans="1:2">
      <c r="A155" t="s">
        <v>272</v>
      </c>
      <c r="B155">
        <v>0</v>
      </c>
    </row>
    <row r="156" spans="1:2">
      <c r="A156" t="s">
        <v>273</v>
      </c>
      <c r="B156">
        <v>0</v>
      </c>
    </row>
    <row r="157" spans="1:2">
      <c r="A157" t="s">
        <v>274</v>
      </c>
      <c r="B157">
        <v>0</v>
      </c>
    </row>
    <row r="158" spans="1:2">
      <c r="A158" t="s">
        <v>275</v>
      </c>
      <c r="B158">
        <v>0</v>
      </c>
    </row>
    <row r="159" spans="1:2">
      <c r="A159" t="s">
        <v>276</v>
      </c>
      <c r="B159">
        <v>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1" master="" otherUserPermission="visible"/>
  <rangeList sheetStid="12" master="" otherUserPermission="visible"/>
  <rangeList sheetStid="13" master="" otherUserPermission="visible"/>
  <rangeList sheetStid="14" master="" otherUserPermission="visible"/>
  <rangeList sheetStid="1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FRONT PG</vt:lpstr>
      <vt:lpstr>SELEMPANG</vt:lpstr>
      <vt:lpstr>PPKI,PRA</vt:lpstr>
      <vt:lpstr>MP THP 1</vt:lpstr>
      <vt:lpstr>MP THP 1 (Kalau ada kelas)</vt:lpstr>
      <vt:lpstr>MP THP 2</vt:lpstr>
      <vt:lpstr>MP THP 2 (Kalau ada kelas)</vt:lpstr>
      <vt:lpstr>PBD</vt:lpstr>
      <vt:lpstr>ALIRAN TERBAIK</vt:lpstr>
      <vt:lpstr>ALIRAN TERBAIK Kalau ada kelas</vt:lpstr>
      <vt:lpstr>LONJAKAN SAUJANA</vt:lpstr>
      <vt:lpstr>TOKOH</vt:lpstr>
      <vt:lpstr>KEHADIRAN PENUH</vt:lpstr>
      <vt:lpstr>ORDER LAIN-LAIN</vt:lpstr>
      <vt:lpstr>SENARAI PLAK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WPS_1788522670</cp:lastModifiedBy>
  <cp:revision>1</cp:revision>
  <dcterms:created xsi:type="dcterms:W3CDTF">2012-12-05T14:45:00Z</dcterms:created>
  <cp:lastPrinted>2025-09-13T04:09:00Z</cp:lastPrinted>
  <dcterms:modified xsi:type="dcterms:W3CDTF">2026-10-03T11:35:30Z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EC2FEC72A7B99AC721239E6A8214DB95_43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